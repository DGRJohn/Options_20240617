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桌面2\.工作\BofA\"/>
    </mc:Choice>
  </mc:AlternateContent>
  <xr:revisionPtr revIDLastSave="0" documentId="13_ncr:1_{F856885B-4F55-481D-8594-539C0CC69ABD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Pivot" sheetId="2" r:id="rId1"/>
    <sheet name="发行要素" sheetId="1" r:id="rId2"/>
    <sheet name="汇总结果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2" i="1"/>
</calcChain>
</file>

<file path=xl/sharedStrings.xml><?xml version="1.0" encoding="utf-8"?>
<sst xmlns="http://schemas.openxmlformats.org/spreadsheetml/2006/main" count="1415" uniqueCount="303">
  <si>
    <r>
      <rPr>
        <sz val="11"/>
        <color rgb="FF333333"/>
        <rFont val="楷体"/>
        <charset val="134"/>
      </rPr>
      <t>证券代码</t>
    </r>
  </si>
  <si>
    <r>
      <rPr>
        <sz val="11"/>
        <color rgb="FF333333"/>
        <rFont val="楷体"/>
        <charset val="134"/>
      </rPr>
      <t>证券简称</t>
    </r>
  </si>
  <si>
    <r>
      <rPr>
        <sz val="11"/>
        <color rgb="FF333333"/>
        <rFont val="楷体"/>
        <charset val="134"/>
      </rPr>
      <t>穿透信用主体</t>
    </r>
  </si>
  <si>
    <r>
      <rPr>
        <sz val="11"/>
        <color rgb="FF333333"/>
        <rFont val="楷体"/>
        <charset val="134"/>
      </rPr>
      <t>发行公告日</t>
    </r>
  </si>
  <si>
    <r>
      <rPr>
        <sz val="11"/>
        <color rgb="FF333333"/>
        <rFont val="楷体"/>
        <charset val="134"/>
      </rPr>
      <t>预计发行总额</t>
    </r>
    <r>
      <rPr>
        <sz val="11"/>
        <color rgb="FF333333"/>
        <rFont val="Arial"/>
        <family val="2"/>
      </rPr>
      <t>(</t>
    </r>
    <r>
      <rPr>
        <sz val="11"/>
        <color rgb="FF333333"/>
        <rFont val="楷体"/>
        <charset val="134"/>
      </rPr>
      <t>亿元</t>
    </r>
    <r>
      <rPr>
        <sz val="11"/>
        <color rgb="FF333333"/>
        <rFont val="Arial"/>
        <family val="2"/>
      </rPr>
      <t>)</t>
    </r>
  </si>
  <si>
    <r>
      <rPr>
        <sz val="11"/>
        <color rgb="FF333333"/>
        <rFont val="楷体"/>
        <charset val="134"/>
      </rPr>
      <t>期限</t>
    </r>
    <r>
      <rPr>
        <sz val="11"/>
        <color rgb="FF333333"/>
        <rFont val="Arial"/>
        <family val="2"/>
      </rPr>
      <t>(</t>
    </r>
    <r>
      <rPr>
        <sz val="11"/>
        <color rgb="FF333333"/>
        <rFont val="楷体"/>
        <charset val="134"/>
      </rPr>
      <t>年</t>
    </r>
    <r>
      <rPr>
        <sz val="11"/>
        <color rgb="FF333333"/>
        <rFont val="Arial"/>
        <family val="2"/>
      </rPr>
      <t>)</t>
    </r>
  </si>
  <si>
    <r>
      <rPr>
        <sz val="11"/>
        <color rgb="FF333333"/>
        <rFont val="楷体"/>
        <charset val="134"/>
      </rPr>
      <t>票面利率说明</t>
    </r>
  </si>
  <si>
    <r>
      <rPr>
        <sz val="11"/>
        <color rgb="FF333333"/>
        <rFont val="楷体"/>
        <charset val="134"/>
      </rPr>
      <t>票息品种</t>
    </r>
  </si>
  <si>
    <r>
      <rPr>
        <sz val="11"/>
        <color rgb="FF333333"/>
        <rFont val="楷体"/>
        <charset val="134"/>
      </rPr>
      <t>债项评级</t>
    </r>
    <r>
      <rPr>
        <sz val="11"/>
        <color rgb="FF333333"/>
        <rFont val="Arial"/>
        <family val="2"/>
      </rPr>
      <t>(M/S/F)</t>
    </r>
  </si>
  <si>
    <r>
      <rPr>
        <sz val="11"/>
        <color rgb="FF333333"/>
        <rFont val="楷体"/>
        <charset val="134"/>
      </rPr>
      <t>主体评级</t>
    </r>
    <r>
      <rPr>
        <sz val="11"/>
        <color rgb="FF333333"/>
        <rFont val="Arial"/>
        <family val="2"/>
      </rPr>
      <t>(M/S/F)</t>
    </r>
  </si>
  <si>
    <r>
      <rPr>
        <sz val="11"/>
        <color rgb="FF333333"/>
        <rFont val="楷体"/>
        <charset val="134"/>
      </rPr>
      <t>主体评级日期</t>
    </r>
  </si>
  <si>
    <r>
      <rPr>
        <sz val="11"/>
        <color rgb="FF333333"/>
        <rFont val="楷体"/>
        <charset val="134"/>
      </rPr>
      <t>历史评级</t>
    </r>
  </si>
  <si>
    <r>
      <rPr>
        <sz val="11"/>
        <color rgb="FF333333"/>
        <rFont val="楷体"/>
        <charset val="134"/>
      </rPr>
      <t>牵头经办人</t>
    </r>
  </si>
  <si>
    <r>
      <rPr>
        <sz val="11"/>
        <color rgb="FF333333"/>
        <rFont val="楷体"/>
        <charset val="134"/>
      </rPr>
      <t>账簿管理人</t>
    </r>
  </si>
  <si>
    <r>
      <rPr>
        <sz val="11"/>
        <color rgb="FF333333"/>
        <rFont val="楷体"/>
        <charset val="134"/>
      </rPr>
      <t>特殊条款</t>
    </r>
  </si>
  <si>
    <r>
      <rPr>
        <sz val="11"/>
        <color rgb="FF333333"/>
        <rFont val="楷体"/>
        <charset val="134"/>
      </rPr>
      <t>特殊条款说明</t>
    </r>
  </si>
  <si>
    <r>
      <rPr>
        <sz val="11"/>
        <color rgb="FF333333"/>
        <rFont val="楷体"/>
        <charset val="134"/>
      </rPr>
      <t>付息频率</t>
    </r>
  </si>
  <si>
    <r>
      <rPr>
        <sz val="11"/>
        <color rgb="FF333333"/>
        <rFont val="楷体"/>
        <charset val="134"/>
      </rPr>
      <t>上市日期</t>
    </r>
  </si>
  <si>
    <r>
      <rPr>
        <sz val="11"/>
        <color rgb="FF333333"/>
        <rFont val="楷体"/>
        <charset val="134"/>
      </rPr>
      <t>交易场所</t>
    </r>
  </si>
  <si>
    <r>
      <rPr>
        <sz val="11"/>
        <color rgb="FF333333"/>
        <rFont val="楷体"/>
        <charset val="134"/>
      </rPr>
      <t>发行人</t>
    </r>
  </si>
  <si>
    <r>
      <rPr>
        <sz val="11"/>
        <color rgb="FF333333"/>
        <rFont val="楷体"/>
        <charset val="134"/>
      </rPr>
      <t>历史债项评级</t>
    </r>
  </si>
  <si>
    <r>
      <rPr>
        <sz val="11"/>
        <color rgb="FF333333"/>
        <rFont val="楷体"/>
        <charset val="134"/>
      </rPr>
      <t>历史主体评级</t>
    </r>
  </si>
  <si>
    <t>BCHKFP25014.CMU</t>
  </si>
  <si>
    <t>HK0001193280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</si>
  <si>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1.72 20260325</t>
    </r>
  </si>
  <si>
    <r>
      <rPr>
        <sz val="11"/>
        <color rgb="FF000000"/>
        <rFont val="楷体"/>
        <charset val="134"/>
      </rPr>
      <t>中国人民银行</t>
    </r>
  </si>
  <si>
    <r>
      <rPr>
        <sz val="11"/>
        <color rgb="FF000000"/>
        <rFont val="楷体"/>
        <charset val="134"/>
      </rPr>
      <t>附息</t>
    </r>
  </si>
  <si>
    <t>- /  / </t>
  </si>
  <si>
    <t>-</t>
  </si>
  <si>
    <r>
      <rPr>
        <sz val="11"/>
        <color rgb="FF000000"/>
        <rFont val="楷体"/>
        <charset val="134"/>
      </rPr>
      <t>香港债务工具中央结算系统</t>
    </r>
  </si>
  <si>
    <t>BCHKFP25010.CMU</t>
  </si>
  <si>
    <t>HK0001185542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</si>
  <si>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1.6 20251126</t>
    </r>
  </si>
  <si>
    <t>BCHKFP25011.CMU</t>
  </si>
  <si>
    <t>HK0001185559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</si>
  <si>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1.62 20260827</t>
    </r>
  </si>
  <si>
    <t>BCHKFP25005.CMU</t>
  </si>
  <si>
    <t>HK0001127759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</si>
  <si>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1.45 20251219</t>
    </r>
  </si>
  <si>
    <t>BCHKFP25003.CMU</t>
  </si>
  <si>
    <t>HK0001106787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</si>
  <si>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2.6 20250520</t>
    </r>
  </si>
  <si>
    <t>BCHKFP25004.CMU</t>
  </si>
  <si>
    <t>HK0001106795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</si>
  <si>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2.32 20260218</t>
    </r>
  </si>
  <si>
    <t>BCHKFP25001.CMU</t>
  </si>
  <si>
    <t>HK0001097093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</si>
  <si>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3.4 20250718</t>
    </r>
  </si>
  <si>
    <t>BCHKFP24019.CMU</t>
  </si>
  <si>
    <t>HK0001092102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</si>
  <si>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2.55 20250620</t>
    </r>
  </si>
  <si>
    <t>BCHKFP24017.CMU</t>
  </si>
  <si>
    <t>HK0001085049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</si>
  <si>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3.2 20250221</t>
    </r>
  </si>
  <si>
    <t>BCHKFP24018.CMU</t>
  </si>
  <si>
    <t>HK0001085056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</si>
  <si>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2.6 20251122</t>
    </r>
  </si>
  <si>
    <t>BCHKFP24016.CMU</t>
  </si>
  <si>
    <t>HK0001058830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</si>
  <si>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1.55 20250328</t>
    </r>
  </si>
  <si>
    <t>BCHKFP24013.CMU</t>
  </si>
  <si>
    <t>HK0001051033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</si>
  <si>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1.88 20241122</t>
    </r>
  </si>
  <si>
    <t>BCHKFP24014.CMU</t>
  </si>
  <si>
    <t>HK0001051041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</si>
  <si>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1.9 20250823</t>
    </r>
  </si>
  <si>
    <t>BCHKFP24012.CMU</t>
  </si>
  <si>
    <t>HK0001031456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</si>
  <si>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2.59 20241220</t>
    </r>
  </si>
  <si>
    <t>BCHKFP24009.CMU</t>
  </si>
  <si>
    <t>HK0001020665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</si>
  <si>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2.75 20240823</t>
    </r>
  </si>
  <si>
    <t>BCHKFP24010.CMU</t>
  </si>
  <si>
    <t>HK0001020673</t>
  </si>
  <si>
    <r>
      <rPr>
        <sz val="11"/>
        <color rgb="FF333333"/>
        <rFont val="楷体"/>
        <charset val="134"/>
      </rPr>
      <t>中国人民银行</t>
    </r>
    <r>
      <rPr>
        <sz val="11"/>
        <color rgb="FF333333"/>
        <rFont val="Arial"/>
        <family val="2"/>
      </rPr>
      <t xml:space="preserve"> 2.7 20250524</t>
    </r>
  </si>
  <si>
    <r>
      <rPr>
        <sz val="10.5"/>
        <color rgb="FF000000"/>
        <rFont val="楷体"/>
        <charset val="134"/>
      </rPr>
      <t>中国人民银行</t>
    </r>
  </si>
  <si>
    <r>
      <rPr>
        <sz val="10.5"/>
        <color rgb="FF000000"/>
        <rFont val="楷体"/>
        <charset val="134"/>
      </rPr>
      <t>附息</t>
    </r>
  </si>
  <si>
    <r>
      <rPr>
        <sz val="10.5"/>
        <color rgb="FF000000"/>
        <rFont val="楷体"/>
        <charset val="134"/>
      </rPr>
      <t>香港债务工具中央结算系统</t>
    </r>
  </si>
  <si>
    <t>BCHKFP24007.CMU</t>
  </si>
  <si>
    <t>HK0001000980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</si>
  <si>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2.73 20240919</t>
    </r>
  </si>
  <si>
    <t>BCHKFP24005.CMU</t>
  </si>
  <si>
    <t>HK0000993102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</si>
  <si>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3.04 20240523</t>
    </r>
  </si>
  <si>
    <r>
      <rPr>
        <sz val="10.5"/>
        <color rgb="FF000000"/>
        <rFont val="楷体"/>
        <charset val="134"/>
      </rPr>
      <t>到期一次还本付息</t>
    </r>
  </si>
  <si>
    <t>BCHKFP24006.CMU</t>
  </si>
  <si>
    <t>HK0000993110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</si>
  <si>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2.79 20250224</t>
    </r>
  </si>
  <si>
    <t>BCHKFP23026.CMU</t>
  </si>
  <si>
    <t>HK0000976560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</si>
  <si>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2.8 20240621</t>
    </r>
  </si>
  <si>
    <t>BCHKFP23024.CMU</t>
  </si>
  <si>
    <t>HK0000967999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</si>
  <si>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3.18 20240222</t>
    </r>
  </si>
  <si>
    <t>BCHKFP23025.CMU</t>
  </si>
  <si>
    <t>HK0000968005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</si>
  <si>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2.98 20241123</t>
    </r>
  </si>
  <si>
    <t>BCHKFP23023.CMU</t>
  </si>
  <si>
    <t>HK0000954377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</si>
  <si>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3.38 20240321</t>
    </r>
  </si>
  <si>
    <t>BCHKFP23016.CMU</t>
  </si>
  <si>
    <t>HK0000947116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</si>
  <si>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2.7 20240824</t>
    </r>
  </si>
  <si>
    <t>BCHKFP23015.CMU</t>
  </si>
  <si>
    <t>HK0000947108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</si>
  <si>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3.2 20231123</t>
    </r>
  </si>
  <si>
    <t>BCHKFP23010.CMU</t>
  </si>
  <si>
    <t>HK0000936952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</si>
  <si>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2.24 20231227</t>
    </r>
  </si>
  <si>
    <t>BCHKFP23007.CMU</t>
  </si>
  <si>
    <t>HK0000929536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</si>
  <si>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2.45 20240525</t>
    </r>
  </si>
  <si>
    <t>BCHKFP23006.CMU</t>
  </si>
  <si>
    <t>HK0000929528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</si>
  <si>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2.08 20230824</t>
    </r>
  </si>
  <si>
    <t>BCHKFP23003.CMU</t>
  </si>
  <si>
    <t>HK0000917382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</si>
  <si>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2.2 20230921</t>
    </r>
  </si>
  <si>
    <t>BCHKFP23002.CMU</t>
  </si>
  <si>
    <t>HK0000910262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</si>
  <si>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2.75 20240223</t>
    </r>
  </si>
  <si>
    <t>BCHKFP23001.CMU</t>
  </si>
  <si>
    <t>HK0000910254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</si>
  <si>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2.4 20230525</t>
    </r>
  </si>
  <si>
    <t>BCHKFP22046.CMU</t>
  </si>
  <si>
    <t>HK0000898343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</si>
  <si>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2.2 20230622</t>
    </r>
  </si>
  <si>
    <t>BCHKFP22044.CMU</t>
  </si>
  <si>
    <t>HK0000888278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</si>
  <si>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2.09 20230222</t>
    </r>
  </si>
  <si>
    <t>BCHKFP22045.CMU</t>
  </si>
  <si>
    <t>HK0000888286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</si>
  <si>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2.5 20231123</t>
    </r>
  </si>
  <si>
    <t>BCHKFP22040.CMU</t>
  </si>
  <si>
    <t>HK0000876919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</si>
  <si>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2.2 20230323</t>
    </r>
  </si>
  <si>
    <t>BCHKFP22019.CMU</t>
  </si>
  <si>
    <t>HK0000871787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</si>
  <si>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1.9 20221123</t>
    </r>
  </si>
  <si>
    <t>BCHKFP22020.CMU</t>
  </si>
  <si>
    <t>HK0000871795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</si>
  <si>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2.3 20230824</t>
    </r>
  </si>
  <si>
    <t>BCHKFP22009.CMU</t>
  </si>
  <si>
    <t>HK0000855863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</si>
  <si>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2.3 20221222</t>
    </r>
  </si>
  <si>
    <t>BCHKFP22005.CMU</t>
  </si>
  <si>
    <t>HK0000849296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</si>
  <si>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2.49 20220824</t>
    </r>
  </si>
  <si>
    <t>BCHKFP22006.CMU</t>
  </si>
  <si>
    <t>HK0000849304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</si>
  <si>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2.8 20230525</t>
    </r>
  </si>
  <si>
    <t>BCHKFP22004.CMU</t>
  </si>
  <si>
    <t>HK0000825114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</si>
  <si>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2.60 20220922</t>
    </r>
  </si>
  <si>
    <t>BCHKFP22002.CMU</t>
  </si>
  <si>
    <t>HK0000814860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</si>
  <si>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2.50 20220525</t>
    </r>
  </si>
  <si>
    <t>BCHKFP22003.CMU</t>
  </si>
  <si>
    <t>HK0000814878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</si>
  <si>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2.70 20230223</t>
    </r>
  </si>
  <si>
    <t>BCHKFP21018.CMU</t>
  </si>
  <si>
    <t>HK0000801461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</si>
  <si>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2.5 20220623</t>
    </r>
  </si>
  <si>
    <t>BCHKFP21016.CMU</t>
  </si>
  <si>
    <t>HK0000789609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</si>
  <si>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2.59 20220222</t>
    </r>
  </si>
  <si>
    <t>BCHKFP21017.CMU</t>
  </si>
  <si>
    <t>HK0000789617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</si>
  <si>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2.75 20221123</t>
    </r>
  </si>
  <si>
    <t>BCHKFP21015.CMU</t>
  </si>
  <si>
    <t>HK0000777869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</si>
  <si>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2.5 20220329</t>
    </r>
  </si>
  <si>
    <t>BCHKFP21012.CMU</t>
  </si>
  <si>
    <t>HK0000757713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</si>
  <si>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2.6 20211123</t>
    </r>
  </si>
  <si>
    <t>BCHKFP21013.CMU</t>
  </si>
  <si>
    <t>HK0000757721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</si>
  <si>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2.75 20220824</t>
    </r>
  </si>
  <si>
    <t>BCHKFP21007.CMU</t>
  </si>
  <si>
    <t>HK0000744539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</si>
  <si>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2.54 20211227</t>
    </r>
  </si>
  <si>
    <t>BCHKFP21005.CMU</t>
  </si>
  <si>
    <t>HK0000732278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</si>
  <si>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2.48 20210824</t>
    </r>
  </si>
  <si>
    <t>BCHKFP21006.CMU</t>
  </si>
  <si>
    <t>HK0000732286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</si>
  <si>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2.63 20220525</t>
    </r>
  </si>
  <si>
    <t>BCHKFP21004.CMU</t>
  </si>
  <si>
    <t>HK0000707411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</si>
  <si>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2.6 20210927</t>
    </r>
  </si>
  <si>
    <t>BCHKFP21002.CMU</t>
  </si>
  <si>
    <t>HK0000685500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</si>
  <si>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2.7 20210525</t>
    </r>
  </si>
  <si>
    <t>BCHKFP21003.CMU</t>
  </si>
  <si>
    <t>HK0000685518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</si>
  <si>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2.74 20220223</t>
    </r>
  </si>
  <si>
    <t>BCHKFP20025.CMU</t>
  </si>
  <si>
    <t>HK0000671203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</si>
  <si>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2.7 20210628</t>
    </r>
  </si>
  <si>
    <t>BCHKFP20021.CMU</t>
  </si>
  <si>
    <t>HK0000659562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</si>
  <si>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2.85 20210215</t>
    </r>
  </si>
  <si>
    <t>BCHKFP20022.CMU</t>
  </si>
  <si>
    <t>HK0000659570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</si>
  <si>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2.9 20211116</t>
    </r>
  </si>
  <si>
    <t>BCHKFP20019.CMU</t>
  </si>
  <si>
    <t>HK0000646684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</si>
  <si>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2.68 20210329</t>
    </r>
  </si>
  <si>
    <t>BCHKFP20016.CMU</t>
  </si>
  <si>
    <t>HK0000634433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</si>
  <si>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2.7 20201116</t>
    </r>
  </si>
  <si>
    <t>BCHKFP20017.CMU</t>
  </si>
  <si>
    <t>HK0000634441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</si>
  <si>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2.7 20210817</t>
    </r>
  </si>
  <si>
    <t>BCHKFP20013.CMU</t>
  </si>
  <si>
    <t>HK0000611829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</si>
  <si>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2.21 20201228</t>
    </r>
  </si>
  <si>
    <t>BCHKFP20008.CMU</t>
  </si>
  <si>
    <t>HK0000602844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</si>
  <si>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1.77 20200817</t>
    </r>
  </si>
  <si>
    <t>BCHKFP20009.CMU</t>
  </si>
  <si>
    <t>HK0000602851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</si>
  <si>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1.78 20210518</t>
    </r>
  </si>
  <si>
    <t>BCHKFP20006.CMU</t>
  </si>
  <si>
    <t>HK0000579653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</si>
  <si>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2.19 20200928</t>
    </r>
  </si>
  <si>
    <t>BCHKFP20002.CMU</t>
  </si>
  <si>
    <t>HK0000565405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</si>
  <si>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2.55 20200518</t>
    </r>
  </si>
  <si>
    <t>BCHKFP20003.CMU</t>
  </si>
  <si>
    <t>HK0000565413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</si>
  <si>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2.6 20210217</t>
    </r>
  </si>
  <si>
    <t>BCHKFP19033.CMU</t>
  </si>
  <si>
    <t>HK0000554995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</si>
  <si>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2.9 20200626</t>
    </r>
  </si>
  <si>
    <t>BCHKFP19028.CMU</t>
  </si>
  <si>
    <t>HK0000536851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</si>
  <si>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2.9 20200210</t>
    </r>
  </si>
  <si>
    <t>BCHKFP19029.CMU</t>
  </si>
  <si>
    <t>HK0000536869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</si>
  <si>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2.9 20201111</t>
    </r>
  </si>
  <si>
    <t>BCHKFP19026.CMU</t>
  </si>
  <si>
    <t>HK0000525615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</si>
  <si>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2.89 20200330</t>
    </r>
  </si>
  <si>
    <t>BCHKFP19023.CMU</t>
  </si>
  <si>
    <t>HK0000523222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</si>
  <si>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2.9 20191115</t>
    </r>
  </si>
  <si>
    <t>BCHKFP19024.CMU</t>
  </si>
  <si>
    <t>HK0000523230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</si>
  <si>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2.95 20200816</t>
    </r>
  </si>
  <si>
    <t>BCMKFP19025.CMU</t>
  </si>
  <si>
    <t>HK0000512175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</si>
  <si>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2.80 20190726</t>
    </r>
  </si>
  <si>
    <t>BCMKFP19026.CMU</t>
  </si>
  <si>
    <t>HK0000512183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</si>
  <si>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2.82 20191227</t>
    </r>
  </si>
  <si>
    <t>BCMKFP19018.CMU</t>
  </si>
  <si>
    <t>HK0000502713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</si>
  <si>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3 20190816</t>
    </r>
  </si>
  <si>
    <t>BCMKFP19019.CMU</t>
  </si>
  <si>
    <t>HK0000502721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</si>
  <si>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3.1 20200517</t>
    </r>
  </si>
  <si>
    <t>BCMKFP19002.CMU</t>
  </si>
  <si>
    <t>HK0000479920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</si>
  <si>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2.45 20190517</t>
    </r>
  </si>
  <si>
    <t>BCMKFP19003.CMU</t>
  </si>
  <si>
    <t>HK0000479938</t>
  </si>
  <si>
    <r>
      <rPr>
        <sz val="10.5"/>
        <color rgb="FF333333"/>
        <rFont val="楷体"/>
        <charset val="134"/>
      </rPr>
      <t>央行票据</t>
    </r>
    <r>
      <rPr>
        <sz val="10.5"/>
        <color rgb="FF333333"/>
        <rFont val="Arial"/>
        <family val="2"/>
      </rPr>
      <t xml:space="preserve"> 2.80 20200215</t>
    </r>
  </si>
  <si>
    <t>BCMKFP18022.CMU</t>
  </si>
  <si>
    <t>HK0000459260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</si>
  <si>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3.79 20190208</t>
    </r>
  </si>
  <si>
    <t>BCMKFP18023.CMU</t>
  </si>
  <si>
    <t>HK0000459278</t>
  </si>
  <si>
    <r>
      <rPr>
        <sz val="10.5"/>
        <color rgb="FF333333"/>
        <rFont val="楷体"/>
        <charset val="134"/>
      </rPr>
      <t>中国人民银行</t>
    </r>
    <r>
      <rPr>
        <sz val="10.5"/>
        <color rgb="FF333333"/>
        <rFont val="Arial"/>
        <family val="2"/>
      </rPr>
      <t xml:space="preserve"> 4.2 20191109</t>
    </r>
  </si>
  <si>
    <r>
      <t>ISIN</t>
    </r>
    <r>
      <rPr>
        <sz val="11"/>
        <color rgb="FF333333"/>
        <rFont val="楷体"/>
        <charset val="134"/>
      </rPr>
      <t>代码</t>
    </r>
    <phoneticPr fontId="10" type="noConversion"/>
  </si>
  <si>
    <t>到期日</t>
    <phoneticPr fontId="10" type="noConversion"/>
  </si>
  <si>
    <t>发行年月</t>
    <phoneticPr fontId="10" type="noConversion"/>
  </si>
  <si>
    <t>发行日年月</t>
    <phoneticPr fontId="10" type="noConversion"/>
  </si>
  <si>
    <t>序号</t>
    <phoneticPr fontId="10" type="noConversion"/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</si>
  <si>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</si>
  <si>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</si>
  <si>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</si>
  <si>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</si>
  <si>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</si>
  <si>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</si>
  <si>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</si>
  <si>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</si>
  <si>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2月</t>
  </si>
  <si>
    <t>求和项:预计发行总额(亿元)</t>
  </si>
  <si>
    <t>3月</t>
  </si>
  <si>
    <t>5月</t>
  </si>
  <si>
    <t>6月</t>
  </si>
  <si>
    <t>8月</t>
  </si>
  <si>
    <t>9月</t>
  </si>
  <si>
    <t>11月</t>
  </si>
  <si>
    <t>12月</t>
  </si>
  <si>
    <t>预计发行总额(亿元)</t>
    <phoneticPr fontId="10" type="noConversion"/>
  </si>
  <si>
    <t>年(到期日)</t>
  </si>
  <si>
    <t>月(到期日)</t>
  </si>
  <si>
    <t>7月</t>
  </si>
  <si>
    <t>到期年月</t>
    <phoneticPr fontId="10" type="noConversion"/>
  </si>
  <si>
    <t>发行总额（亿元人民币）</t>
    <phoneticPr fontId="10" type="noConversion"/>
  </si>
  <si>
    <t>到期总额（亿元人民币）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</si>
</sst>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sz val="10.5"/>
      <color rgb="FF000000"/>
      <name val="Arial"/>
      <family val="2"/>
    </font>
    <font>
      <sz val="10.5"/>
      <color rgb="FF333333"/>
      <name val="Arial"/>
      <family val="2"/>
    </font>
    <font>
      <sz val="10.5"/>
      <color rgb="FF333333"/>
      <name val="楷体"/>
      <charset val="134"/>
    </font>
    <font>
      <sz val="11"/>
      <color rgb="FF333333"/>
      <name val="楷体"/>
      <charset val="134"/>
    </font>
    <font>
      <sz val="10.5"/>
      <color rgb="FF000000"/>
      <name val="楷体"/>
      <charset val="134"/>
    </font>
    <font>
      <sz val="11"/>
      <color rgb="FF000000"/>
      <name val="楷体"/>
      <charset val="134"/>
    </font>
    <font>
      <sz val="9"/>
      <name val="宋体"/>
      <family val="3"/>
      <charset val="134"/>
      <scheme val="minor"/>
    </font>
    <font>
      <sz val="11"/>
      <color rgb="FF333333"/>
      <name val="宋体"/>
      <family val="2"/>
      <charset val="134"/>
    </font>
    <font>
      <sz val="11"/>
      <color rgb="FF333333"/>
      <name val="楷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3" fillId="0" borderId="0" xfId="0" applyNumberFormat="1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3" fillId="0" borderId="0" xfId="0" applyNumberFormat="1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4" fillId="0" borderId="0" xfId="0" applyNumberFormat="1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4" fillId="0" borderId="0" xfId="0" applyNumberFormat="1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10" fontId="3" fillId="0" borderId="0" xfId="0" applyNumberFormat="1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0" fontId="3" fillId="0" borderId="0" xfId="0" applyNumberFormat="1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0" fontId="4" fillId="0" borderId="0" xfId="0" applyNumberFormat="1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0" fontId="4" fillId="0" borderId="0" xfId="0" applyNumberFormat="1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4" fillId="0" borderId="0" xfId="0" applyNumberFormat="1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2" fillId="0" borderId="0" xfId="0" applyNumberFormat="1" applyFont="1" applyAlignment="1">
      <alignment horizontal="left" vertical="top" wrapText="1"/>
    </xf>
    <xf numFmtId="14" fontId="3" fillId="0" borderId="0" xfId="0" applyNumberFormat="1" applyFo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0" fontId="1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胡杰楠" refreshedDate="45956.952467361109" createdVersion="8" refreshedVersion="8" minRefreshableVersion="3" recordCount="81" xr:uid="{DA6F1AD1-CDA8-4793-9F67-495BA46AF05F}">
  <cacheSource type="worksheet">
    <worksheetSource ref="A1:Z82" sheet="发行要素"/>
  </cacheSource>
  <cacheFields count="32">
    <cacheField name="序号" numFmtId="0">
      <sharedItems containsSemiMixedTypes="0" containsString="0" containsNumber="1" containsInteger="1" minValue="1" maxValue="81"/>
    </cacheField>
    <cacheField name="证券代码" numFmtId="0">
      <sharedItems/>
    </cacheField>
    <cacheField name="ISIN代码" numFmtId="0">
      <sharedItems/>
    </cacheField>
    <cacheField name="证券简称" numFmtId="0">
      <sharedItems/>
    </cacheField>
    <cacheField name="到期日" numFmtId="14">
      <sharedItems containsSemiMixedTypes="0" containsNonDate="0" containsDate="1" containsString="0" minDate="2019-02-08T00:00:00" maxDate="2026-08-28T00:00:00" count="75">
        <d v="2026-03-25T00:00:00"/>
        <d v="2025-11-26T00:00:00"/>
        <d v="2026-08-27T00:00:00"/>
        <d v="2025-12-19T00:00:00"/>
        <d v="2025-05-20T00:00:00"/>
        <d v="2026-02-18T00:00:00"/>
        <d v="2025-07-18T00:00:00"/>
        <d v="2025-06-20T00:00:00"/>
        <d v="2025-02-21T00:00:00"/>
        <d v="2025-11-22T00:00:00"/>
        <d v="2025-03-28T00:00:00"/>
        <d v="2024-11-22T00:00:00"/>
        <d v="2025-08-23T00:00:00"/>
        <d v="2024-12-20T00:00:00"/>
        <d v="2024-08-23T00:00:00"/>
        <d v="2025-05-24T00:00:00"/>
        <d v="2024-09-19T00:00:00"/>
        <d v="2024-05-23T00:00:00"/>
        <d v="2025-02-24T00:00:00"/>
        <d v="2024-06-21T00:00:00"/>
        <d v="2024-02-22T00:00:00"/>
        <d v="2024-11-23T00:00:00"/>
        <d v="2024-03-21T00:00:00"/>
        <d v="2024-08-24T00:00:00"/>
        <d v="2023-11-23T00:00:00"/>
        <d v="2023-12-27T00:00:00"/>
        <d v="2024-05-25T00:00:00"/>
        <d v="2023-08-24T00:00:00"/>
        <d v="2023-09-21T00:00:00"/>
        <d v="2024-02-23T00:00:00"/>
        <d v="2023-05-25T00:00:00"/>
        <d v="2023-06-22T00:00:00"/>
        <d v="2023-02-22T00:00:00"/>
        <d v="2023-03-23T00:00:00"/>
        <d v="2022-11-23T00:00:00"/>
        <d v="2022-12-22T00:00:00"/>
        <d v="2022-08-24T00:00:00"/>
        <d v="2022-09-22T00:00:00"/>
        <d v="2022-05-25T00:00:00"/>
        <d v="2023-02-23T00:00:00"/>
        <d v="2022-06-23T00:00:00"/>
        <d v="2022-02-22T00:00:00"/>
        <d v="2022-03-29T00:00:00"/>
        <d v="2021-11-23T00:00:00"/>
        <d v="2021-12-27T00:00:00"/>
        <d v="2021-08-24T00:00:00"/>
        <d v="2021-09-27T00:00:00"/>
        <d v="2021-05-25T00:00:00"/>
        <d v="2022-02-23T00:00:00"/>
        <d v="2021-06-28T00:00:00"/>
        <d v="2021-02-15T00:00:00"/>
        <d v="2021-11-16T00:00:00"/>
        <d v="2021-03-29T00:00:00"/>
        <d v="2020-11-16T00:00:00"/>
        <d v="2021-08-17T00:00:00"/>
        <d v="2020-12-28T00:00:00"/>
        <d v="2020-08-17T00:00:00"/>
        <d v="2021-05-18T00:00:00"/>
        <d v="2020-09-28T00:00:00"/>
        <d v="2020-05-18T00:00:00"/>
        <d v="2021-02-17T00:00:00"/>
        <d v="2020-06-26T00:00:00"/>
        <d v="2020-02-10T00:00:00"/>
        <d v="2020-11-11T00:00:00"/>
        <d v="2020-03-30T00:00:00"/>
        <d v="2019-11-15T00:00:00"/>
        <d v="2020-08-16T00:00:00"/>
        <d v="2019-07-26T00:00:00"/>
        <d v="2019-12-27T00:00:00"/>
        <d v="2019-08-16T00:00:00"/>
        <d v="2020-05-17T00:00:00"/>
        <d v="2019-05-17T00:00:00"/>
        <d v="2020-02-15T00:00:00"/>
        <d v="2019-02-08T00:00:00"/>
        <d v="2019-11-09T00:00:00"/>
      </sharedItems>
      <fieldGroup par="28"/>
    </cacheField>
    <cacheField name="穿透信用主体" numFmtId="0">
      <sharedItems/>
    </cacheField>
    <cacheField name="发行日年月" numFmtId="14">
      <sharedItems containsSemiMixedTypes="0" containsNonDate="0" containsDate="1" containsString="0" minDate="2018-11-01T00:00:00" maxDate="2025-09-02T00:00:00" count="53">
        <d v="2025-09-01T00:00:00"/>
        <d v="2025-08-01T00:00:00"/>
        <d v="2025-06-01T00:00:00"/>
        <d v="2025-02-01T00:00:00"/>
        <d v="2025-01-01T00:00:00"/>
        <d v="2024-12-01T00:00:00"/>
        <d v="2024-11-01T00:00:00"/>
        <d v="2024-09-01T00:00:00"/>
        <d v="2024-08-01T00:00:00"/>
        <d v="2024-06-01T00:00:00"/>
        <d v="2024-05-01T00:00:00"/>
        <d v="2024-03-01T00:00:00"/>
        <d v="2024-02-01T00:00:00"/>
        <d v="2023-12-01T00:00:00"/>
        <d v="2023-11-01T00:00:00"/>
        <d v="2023-09-01T00:00:00"/>
        <d v="2023-08-01T00:00:00"/>
        <d v="2023-06-01T00:00:00"/>
        <d v="2023-05-01T00:00:00"/>
        <d v="2023-03-01T00:00:00"/>
        <d v="2023-02-01T00:00:00"/>
        <d v="2022-12-01T00:00:00"/>
        <d v="2022-11-01T00:00:00"/>
        <d v="2022-09-01T00:00:00"/>
        <d v="2022-08-01T00:00:00"/>
        <d v="2022-06-01T00:00:00"/>
        <d v="2022-05-01T00:00:00"/>
        <d v="2022-03-01T00:00:00"/>
        <d v="2022-02-01T00:00:00"/>
        <d v="2021-12-01T00:00:00"/>
        <d v="2021-11-01T00:00:00"/>
        <d v="2021-09-01T00:00:00"/>
        <d v="2021-08-01T00:00:00"/>
        <d v="2021-06-01T00:00:00"/>
        <d v="2021-05-01T00:00:00"/>
        <d v="2021-03-01T00:00:00"/>
        <d v="2021-02-01T00:00:00"/>
        <d v="2020-12-01T00:00:00"/>
        <d v="2020-11-01T00:00:00"/>
        <d v="2020-09-01T00:00:00"/>
        <d v="2020-08-01T00:00:00"/>
        <d v="2020-06-01T00:00:00"/>
        <d v="2020-05-01T00:00:00"/>
        <d v="2020-03-01T00:00:00"/>
        <d v="2020-02-01T00:00:00"/>
        <d v="2019-12-01T00:00:00"/>
        <d v="2019-11-01T00:00:00"/>
        <d v="2019-09-01T00:00:00"/>
        <d v="2019-08-01T00:00:00"/>
        <d v="2019-06-01T00:00:00"/>
        <d v="2019-05-01T00:00:00"/>
        <d v="2019-02-01T00:00:00"/>
        <d v="2018-11-01T00:00:00"/>
      </sharedItems>
      <fieldGroup par="31"/>
    </cacheField>
    <cacheField name="发行公告日" numFmtId="14">
      <sharedItems containsSemiMixedTypes="0" containsNonDate="0" containsDate="1" containsString="0" minDate="2018-10-31T00:00:00" maxDate="2025-09-19T00:00:00"/>
    </cacheField>
    <cacheField name="预计发行总额(亿元)" numFmtId="0">
      <sharedItems containsSemiMixedTypes="0" containsString="0" containsNumber="1" containsInteger="1" minValue="50" maxValue="600"/>
    </cacheField>
    <cacheField name="期限(年)" numFmtId="0">
      <sharedItems containsSemiMixedTypes="0" containsString="0" containsNumber="1" minValue="7.6700000000000004E-2" maxValue="1.0082"/>
    </cacheField>
    <cacheField name="票面利率说明" numFmtId="0">
      <sharedItems containsSemiMixedTypes="0" containsString="0" containsNumber="1" minValue="0" maxValue="4.2000000000000003E-2"/>
    </cacheField>
    <cacheField name="票息品种" numFmtId="0">
      <sharedItems/>
    </cacheField>
    <cacheField name="债项评级(M/S/F)" numFmtId="0">
      <sharedItems/>
    </cacheField>
    <cacheField name="主体评级(M/S/F)" numFmtId="0">
      <sharedItems/>
    </cacheField>
    <cacheField name="主体评级日期" numFmtId="0">
      <sharedItems/>
    </cacheField>
    <cacheField name="历史评级" numFmtId="0">
      <sharedItems/>
    </cacheField>
    <cacheField name="牵头经办人" numFmtId="0">
      <sharedItems/>
    </cacheField>
    <cacheField name="账簿管理人" numFmtId="0">
      <sharedItems/>
    </cacheField>
    <cacheField name="特殊条款" numFmtId="0">
      <sharedItems/>
    </cacheField>
    <cacheField name="特殊条款说明" numFmtId="0">
      <sharedItems containsNonDate="0" containsString="0" containsBlank="1"/>
    </cacheField>
    <cacheField name="付息频率" numFmtId="0">
      <sharedItems containsMixedTypes="1" containsNumber="1" containsInteger="1" minValue="2" maxValue="4"/>
    </cacheField>
    <cacheField name="上市日期" numFmtId="0">
      <sharedItems/>
    </cacheField>
    <cacheField name="交易场所" numFmtId="0">
      <sharedItems/>
    </cacheField>
    <cacheField name="发行人" numFmtId="0">
      <sharedItems/>
    </cacheField>
    <cacheField name="历史债项评级" numFmtId="0">
      <sharedItems containsNonDate="0" containsString="0" containsBlank="1"/>
    </cacheField>
    <cacheField name="历史主体评级" numFmtId="0">
      <sharedItems containsNonDate="0" containsString="0" containsBlank="1"/>
    </cacheField>
    <cacheField name="月(到期日)" numFmtId="0" databaseField="0">
      <fieldGroup base="4">
        <rangePr groupBy="months" startDate="2019-02-08T00:00:00" endDate="2026-08-28T00:00:00"/>
        <groupItems count="14">
          <s v="&lt;2019/2/8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8/28"/>
        </groupItems>
      </fieldGroup>
    </cacheField>
    <cacheField name="季度(到期日)" numFmtId="0" databaseField="0">
      <fieldGroup base="4">
        <rangePr groupBy="quarters" startDate="2019-02-08T00:00:00" endDate="2026-08-28T00:00:00"/>
        <groupItems count="6">
          <s v="&lt;2019/2/8"/>
          <s v="第一季"/>
          <s v="第二季"/>
          <s v="第三季"/>
          <s v="第四季"/>
          <s v="&gt;2026/8/28"/>
        </groupItems>
      </fieldGroup>
    </cacheField>
    <cacheField name="年(到期日)" numFmtId="0" databaseField="0">
      <fieldGroup base="4">
        <rangePr groupBy="years" startDate="2019-02-08T00:00:00" endDate="2026-08-28T00:00:00"/>
        <groupItems count="10">
          <s v="&lt;2019/2/8"/>
          <s v="2019年"/>
          <s v="2020年"/>
          <s v="2021年"/>
          <s v="2022年"/>
          <s v="2023年"/>
          <s v="2024年"/>
          <s v="2025年"/>
          <s v="2026年"/>
          <s v="&gt;2026/8/28"/>
        </groupItems>
      </fieldGroup>
    </cacheField>
    <cacheField name="月(发行日年月)" numFmtId="0" databaseField="0">
      <fieldGroup base="6">
        <rangePr groupBy="months" startDate="2018-11-01T00:00:00" endDate="2025-09-02T00:00:00"/>
        <groupItems count="14">
          <s v="&lt;2018/1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9/2"/>
        </groupItems>
      </fieldGroup>
    </cacheField>
    <cacheField name="季度(发行日年月)" numFmtId="0" databaseField="0">
      <fieldGroup base="6">
        <rangePr groupBy="quarters" startDate="2018-11-01T00:00:00" endDate="2025-09-02T00:00:00"/>
        <groupItems count="6">
          <s v="&lt;2018/11/1"/>
          <s v="第一季"/>
          <s v="第二季"/>
          <s v="第三季"/>
          <s v="第四季"/>
          <s v="&gt;2025/9/2"/>
        </groupItems>
      </fieldGroup>
    </cacheField>
    <cacheField name="年(发行日年月)" numFmtId="0" databaseField="0">
      <fieldGroup base="6">
        <rangePr groupBy="years" startDate="2018-11-01T00:00:00" endDate="2025-09-02T00:00:00"/>
        <groupItems count="10">
          <s v="&lt;2018/11/1"/>
          <s v="2018年"/>
          <s v="2019年"/>
          <s v="2020年"/>
          <s v="2021年"/>
          <s v="2022年"/>
          <s v="2023年"/>
          <s v="2024年"/>
          <s v="2025年"/>
          <s v="&gt;2025/9/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1"/>
    <s v="BCHKFP25014.CMU"/>
    <s v="HK0001193280"/>
    <s v="中国人民银行 1.72 20260325"/>
    <x v="0"/>
    <s v="中国人民银行"/>
    <x v="0"/>
    <d v="2025-09-18T00:00:00"/>
    <n v="600"/>
    <n v="0.49859999999999999"/>
    <n v="1.72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2"/>
    <s v="BCHKFP25010.CMU"/>
    <s v="HK0001185542"/>
    <s v="中国人民银行 1.6 20251126"/>
    <x v="1"/>
    <s v="中国人民银行"/>
    <x v="1"/>
    <d v="2025-08-21T00:00:00"/>
    <n v="300"/>
    <n v="0.24929999999999999"/>
    <n v="1.6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3"/>
    <s v="BCHKFP25011.CMU"/>
    <s v="HK0001185559"/>
    <s v="中国人民银行 1.62 20260827"/>
    <x v="2"/>
    <s v="中国人民银行"/>
    <x v="1"/>
    <d v="2025-08-21T00:00:00"/>
    <n v="150"/>
    <n v="1"/>
    <n v="1.6199999999999999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4"/>
    <s v="BCHKFP25005.CMU"/>
    <s v="HK0001127759"/>
    <s v="中国人民银行 1.45 20251219"/>
    <x v="3"/>
    <s v="中国人民银行"/>
    <x v="2"/>
    <d v="2025-06-16T00:00:00"/>
    <n v="300"/>
    <n v="0.49859999999999999"/>
    <n v="1.4500000000000001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5"/>
    <s v="BCHKFP25003.CMU"/>
    <s v="HK0001106787"/>
    <s v="中国人民银行 2.6 20250520"/>
    <x v="4"/>
    <s v="中国人民银行"/>
    <x v="3"/>
    <d v="2025-02-12T00:00:00"/>
    <n v="400"/>
    <n v="0.24929999999999999"/>
    <n v="2.5999999999999999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6"/>
    <s v="BCHKFP25004.CMU"/>
    <s v="HK0001106795"/>
    <s v="中国人民银行 2.32 20260218"/>
    <x v="5"/>
    <s v="中国人民银行"/>
    <x v="3"/>
    <d v="2025-02-12T00:00:00"/>
    <n v="200"/>
    <n v="1"/>
    <n v="2.3199999999999998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7"/>
    <s v="BCHKFP25001.CMU"/>
    <s v="HK0001097093"/>
    <s v="中国人民银行 3.4 20250718"/>
    <x v="6"/>
    <s v="中国人民银行"/>
    <x v="4"/>
    <d v="2025-01-09T00:00:00"/>
    <n v="600"/>
    <n v="0.49859999999999999"/>
    <n v="3.4000000000000002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8"/>
    <s v="BCHKFP24019.CMU"/>
    <s v="HK0001092102"/>
    <s v="中国人民银行 2.55 20250620"/>
    <x v="7"/>
    <s v="中国人民银行"/>
    <x v="5"/>
    <d v="2024-12-12T00:00:00"/>
    <n v="200"/>
    <n v="0.49859999999999999"/>
    <n v="2.5499999999999998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9"/>
    <s v="BCHKFP24017.CMU"/>
    <s v="HK0001085049"/>
    <s v="中国人民银行 3.2 20250221"/>
    <x v="8"/>
    <s v="中国人民银行"/>
    <x v="6"/>
    <d v="2024-11-14T00:00:00"/>
    <n v="300"/>
    <n v="0.24929999999999999"/>
    <n v="3.2000000000000001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10"/>
    <s v="BCHKFP24018.CMU"/>
    <s v="HK0001085056"/>
    <s v="中国人民银行 2.6 20251122"/>
    <x v="9"/>
    <s v="中国人民银行"/>
    <x v="6"/>
    <d v="2024-11-14T00:00:00"/>
    <n v="150"/>
    <n v="1"/>
    <n v="2.5999999999999999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11"/>
    <s v="BCHKFP24016.CMU"/>
    <s v="HK0001058830"/>
    <s v="中国人民银行 1.55 20250328"/>
    <x v="10"/>
    <s v="中国人民银行"/>
    <x v="7"/>
    <d v="2024-09-19T00:00:00"/>
    <n v="250"/>
    <n v="0.49859999999999999"/>
    <n v="1.55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12"/>
    <s v="BCHKFP24013.CMU"/>
    <s v="HK0001051033"/>
    <s v="中国人民银行 1.88 20241122"/>
    <x v="11"/>
    <s v="中国人民银行"/>
    <x v="8"/>
    <d v="2024-08-15T00:00:00"/>
    <n v="300"/>
    <n v="0.24929999999999999"/>
    <n v="1.8800000000000001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13"/>
    <s v="BCHKFP24014.CMU"/>
    <s v="HK0001051041"/>
    <s v="中国人民银行 1.9 20250823"/>
    <x v="12"/>
    <s v="中国人民银行"/>
    <x v="8"/>
    <d v="2024-08-15T00:00:00"/>
    <n v="150"/>
    <n v="1"/>
    <n v="1.9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14"/>
    <s v="BCHKFP24012.CMU"/>
    <s v="HK0001031456"/>
    <s v="中国人民银行 2.59 20241220"/>
    <x v="13"/>
    <s v="中国人民银行"/>
    <x v="9"/>
    <d v="2024-06-13T00:00:00"/>
    <n v="200"/>
    <n v="0.49859999999999999"/>
    <n v="2.5899999999999999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15"/>
    <s v="BCHKFP24009.CMU"/>
    <s v="HK0001020665"/>
    <s v="中国人民银行 2.75 20240823"/>
    <x v="14"/>
    <s v="中国人民银行"/>
    <x v="10"/>
    <d v="2024-05-22T00:00:00"/>
    <n v="300"/>
    <n v="0.24929999999999999"/>
    <n v="2.75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16"/>
    <s v="BCHKFP24010.CMU"/>
    <s v="HK0001020673"/>
    <s v="中国人民银行 2.7 20250524"/>
    <x v="15"/>
    <s v="中国人民银行"/>
    <x v="10"/>
    <d v="2024-05-22T00:00:00"/>
    <n v="200"/>
    <n v="1"/>
    <n v="2.7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17"/>
    <s v="BCHKFP24007.CMU"/>
    <s v="HK0001000980"/>
    <s v="中国人民银行 2.73 20240919"/>
    <x v="16"/>
    <s v="中国人民银行"/>
    <x v="11"/>
    <d v="2024-03-19T00:00:00"/>
    <n v="250"/>
    <n v="0.49859999999999999"/>
    <n v="2.7300000000000001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18"/>
    <s v="BCHKFP24005.CMU"/>
    <s v="HK0000993102"/>
    <s v="中国人民银行 3.04 20240523"/>
    <x v="17"/>
    <s v="中国人民银行"/>
    <x v="12"/>
    <d v="2024-02-20T00:00:00"/>
    <n v="300"/>
    <n v="0.24929999999999999"/>
    <n v="0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19"/>
    <s v="BCHKFP24006.CMU"/>
    <s v="HK0000993110"/>
    <s v="中国人民银行 2.79 20250224"/>
    <x v="18"/>
    <s v="中国人民银行"/>
    <x v="12"/>
    <d v="2024-02-20T00:00:00"/>
    <n v="150"/>
    <n v="1.0082"/>
    <n v="2.7900000000000001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20"/>
    <s v="BCHKFP23026.CMU"/>
    <s v="HK0000976560"/>
    <s v="中国人民银行 2.8 20240621"/>
    <x v="19"/>
    <s v="中国人民银行"/>
    <x v="13"/>
    <d v="2023-12-20T00:00:00"/>
    <n v="50"/>
    <n v="0.49730000000000002"/>
    <n v="2.8000000000000001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21"/>
    <s v="BCHKFP23024.CMU"/>
    <s v="HK0000967999"/>
    <s v="中国人民银行 3.18 20240222"/>
    <x v="20"/>
    <s v="中国人民银行"/>
    <x v="14"/>
    <d v="2023-11-21T00:00:00"/>
    <n v="300"/>
    <n v="0.24929999999999999"/>
    <n v="3.1800000000000002E-2"/>
    <s v="附息"/>
    <s v="- /  / "/>
    <s v="- /  / "/>
    <s v="-"/>
    <s v="-"/>
    <s v="-"/>
    <s v="-"/>
    <s v="-"/>
    <m/>
    <n v="4"/>
    <s v="-"/>
    <s v="香港债务工具中央结算系统"/>
    <s v="中国人民银行"/>
    <m/>
    <m/>
  </r>
  <r>
    <n v="22"/>
    <s v="BCHKFP23025.CMU"/>
    <s v="HK0000968005"/>
    <s v="中国人民银行 2.98 20241123"/>
    <x v="21"/>
    <s v="中国人民银行"/>
    <x v="14"/>
    <d v="2023-11-21T00:00:00"/>
    <n v="150"/>
    <n v="1"/>
    <n v="2.98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23"/>
    <s v="BCHKFP23023.CMU"/>
    <s v="HK0000954377"/>
    <s v="中国人民银行 3.38 20240321"/>
    <x v="22"/>
    <s v="中国人民银行"/>
    <x v="15"/>
    <d v="2023-09-19T00:00:00"/>
    <n v="150"/>
    <n v="0.49859999999999999"/>
    <n v="3.3799999999999997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24"/>
    <s v="BCHKFP23016.CMU"/>
    <s v="HK0000947116"/>
    <s v="中国人民银行 2.7 20240824"/>
    <x v="23"/>
    <s v="中国人民银行"/>
    <x v="16"/>
    <d v="2023-08-22T00:00:00"/>
    <n v="150"/>
    <n v="1"/>
    <n v="2.7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25"/>
    <s v="BCHKFP23015.CMU"/>
    <s v="HK0000947108"/>
    <s v="中国人民银行 3.2 20231123"/>
    <x v="24"/>
    <s v="中国人民银行"/>
    <x v="16"/>
    <d v="2023-08-15T00:00:00"/>
    <n v="200"/>
    <n v="0.24929999999999999"/>
    <n v="3.2000000000000001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26"/>
    <s v="BCHKFP23010.CMU"/>
    <s v="HK0000936952"/>
    <s v="中国人民银行 2.24 20231227"/>
    <x v="25"/>
    <s v="中国人民银行"/>
    <x v="17"/>
    <d v="2023-06-19T00:00:00"/>
    <n v="50"/>
    <n v="0.49859999999999999"/>
    <n v="2.24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27"/>
    <s v="BCHKFP23007.CMU"/>
    <s v="HK0000929536"/>
    <s v="中国人民银行 2.45 20240525"/>
    <x v="26"/>
    <s v="中国人民银行"/>
    <x v="18"/>
    <d v="2023-05-23T00:00:00"/>
    <n v="150"/>
    <n v="1.0026999999999999"/>
    <n v="2.4500000000000001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28"/>
    <s v="BCHKFP23006.CMU"/>
    <s v="HK0000929528"/>
    <s v="中国人民银行 2.08 20230824"/>
    <x v="27"/>
    <s v="中国人民银行"/>
    <x v="18"/>
    <d v="2023-05-17T00:00:00"/>
    <n v="100"/>
    <n v="0.24929999999999999"/>
    <n v="2.0799999999999999E-2"/>
    <s v="附息"/>
    <s v="- /  / "/>
    <s v="- /  / "/>
    <s v="-"/>
    <s v="-"/>
    <s v="-"/>
    <s v="-"/>
    <s v="-"/>
    <m/>
    <n v="4"/>
    <s v="-"/>
    <s v="香港债务工具中央结算系统"/>
    <s v="中国人民银行"/>
    <m/>
    <m/>
  </r>
  <r>
    <n v="29"/>
    <s v="BCHKFP23003.CMU"/>
    <s v="HK0000917382"/>
    <s v="中国人民银行 2.2 20230921"/>
    <x v="28"/>
    <s v="中国人民银行"/>
    <x v="19"/>
    <d v="2023-03-15T00:00:00"/>
    <n v="50"/>
    <n v="0.49859999999999999"/>
    <n v="2.1999999999999999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30"/>
    <s v="BCHKFP23002.CMU"/>
    <s v="HK0000910262"/>
    <s v="中国人民银行 2.75 20240223"/>
    <x v="29"/>
    <s v="中国人民银行"/>
    <x v="20"/>
    <d v="2023-02-21T00:00:00"/>
    <n v="150"/>
    <n v="1"/>
    <n v="2.75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31"/>
    <s v="BCHKFP23001.CMU"/>
    <s v="HK0000910254"/>
    <s v="中国人民银行 2.4 20230525"/>
    <x v="30"/>
    <s v="中国人民银行"/>
    <x v="20"/>
    <d v="2023-02-15T00:00:00"/>
    <n v="100"/>
    <n v="0.24929999999999999"/>
    <n v="2.4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32"/>
    <s v="BCHKFP22046.CMU"/>
    <s v="HK0000898343"/>
    <s v="中国人民银行 2.2 20230622"/>
    <x v="31"/>
    <s v="中国人民银行"/>
    <x v="21"/>
    <d v="2022-12-14T00:00:00"/>
    <n v="50"/>
    <n v="0.49859999999999999"/>
    <n v="2.1999999999999999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33"/>
    <s v="BCHKFP22044.CMU"/>
    <s v="HK0000888278"/>
    <s v="央行票据 2.09 20230222"/>
    <x v="32"/>
    <s v="中国人民银行"/>
    <x v="22"/>
    <d v="2022-11-15T00:00:00"/>
    <n v="100"/>
    <n v="0.24929999999999999"/>
    <n v="2.0899999999999998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34"/>
    <s v="BCHKFP22045.CMU"/>
    <s v="HK0000888286"/>
    <s v="中国人民银行 2.5 20231123"/>
    <x v="24"/>
    <s v="中国人民银行"/>
    <x v="22"/>
    <d v="2022-11-15T00:00:00"/>
    <n v="150"/>
    <n v="1"/>
    <n v="2.5000000000000001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35"/>
    <s v="BCHKFP22040.CMU"/>
    <s v="HK0000876919"/>
    <s v="央行票据 2.2 20230323"/>
    <x v="33"/>
    <s v="中国人民银行"/>
    <x v="23"/>
    <d v="2022-09-14T00:00:00"/>
    <n v="50"/>
    <n v="0.49859999999999999"/>
    <n v="2.1999999999999999E-2"/>
    <s v="附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36"/>
    <s v="BCHKFP22019.CMU"/>
    <s v="HK0000871787"/>
    <s v="央行票据 1.9 20221123"/>
    <x v="34"/>
    <s v="中国人民银行"/>
    <x v="24"/>
    <d v="2022-08-16T00:00:00"/>
    <n v="100"/>
    <n v="0.24929999999999999"/>
    <n v="1.9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37"/>
    <s v="BCHKFP22020.CMU"/>
    <s v="HK0000871795"/>
    <s v="中国人民银行 2.3 20230824"/>
    <x v="27"/>
    <s v="中国人民银行"/>
    <x v="24"/>
    <d v="2022-08-16T00:00:00"/>
    <n v="150"/>
    <n v="1"/>
    <n v="2.3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38"/>
    <s v="BCHKFP22009.CMU"/>
    <s v="HK0000855863"/>
    <s v="央行票据 2.3 20221222"/>
    <x v="35"/>
    <s v="中国人民银行"/>
    <x v="25"/>
    <d v="2022-06-15T00:00:00"/>
    <n v="50"/>
    <n v="0.49859999999999999"/>
    <n v="2.3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39"/>
    <s v="BCHKFP22005.CMU"/>
    <s v="HK0000849296"/>
    <s v="央行票据 2.49 20220824"/>
    <x v="36"/>
    <s v="中国人民银行"/>
    <x v="26"/>
    <d v="2022-05-17T00:00:00"/>
    <n v="100"/>
    <n v="0.24929999999999999"/>
    <n v="2.4899999999999999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40"/>
    <s v="BCHKFP22006.CMU"/>
    <s v="HK0000849304"/>
    <s v="中国人民银行 2.8 20230525"/>
    <x v="30"/>
    <s v="中国人民银行"/>
    <x v="26"/>
    <d v="2022-05-17T00:00:00"/>
    <n v="150"/>
    <n v="1"/>
    <n v="2.8000000000000001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41"/>
    <s v="BCHKFP22004.CMU"/>
    <s v="HK0000825114"/>
    <s v="央行票据 2.60 20220922"/>
    <x v="37"/>
    <s v="中国人民银行"/>
    <x v="27"/>
    <d v="2022-03-16T00:00:00"/>
    <n v="50"/>
    <n v="0.49859999999999999"/>
    <n v="2.5999999999999999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42"/>
    <s v="BCHKFP22002.CMU"/>
    <s v="HK0000814860"/>
    <s v="央行票据 2.50 20220525"/>
    <x v="38"/>
    <s v="中国人民银行"/>
    <x v="28"/>
    <d v="2022-02-15T00:00:00"/>
    <n v="100"/>
    <n v="0.24929999999999999"/>
    <n v="2.5000000000000001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43"/>
    <s v="BCHKFP22003.CMU"/>
    <s v="HK0000814878"/>
    <s v="央行票据 2.70 20230223"/>
    <x v="39"/>
    <s v="中国人民银行"/>
    <x v="28"/>
    <d v="2022-02-15T00:00:00"/>
    <n v="150"/>
    <n v="1"/>
    <n v="2.7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44"/>
    <s v="BCHKFP21018.CMU"/>
    <s v="HK0000801461"/>
    <s v="央行票据 2.5 20220623"/>
    <x v="40"/>
    <s v="中国人民银行"/>
    <x v="29"/>
    <d v="2021-12-15T00:00:00"/>
    <n v="50"/>
    <n v="0.49859999999999999"/>
    <n v="2.5000000000000001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45"/>
    <s v="BCHKFP21016.CMU"/>
    <s v="HK0000789609"/>
    <s v="央行票据 2.59 20220222"/>
    <x v="41"/>
    <s v="中国人民银行"/>
    <x v="30"/>
    <d v="2021-11-15T00:00:00"/>
    <n v="100"/>
    <n v="0.24929999999999999"/>
    <n v="2.5899999999999999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46"/>
    <s v="BCHKFP21017.CMU"/>
    <s v="HK0000789617"/>
    <s v="央行票据 2.75 20221123"/>
    <x v="34"/>
    <s v="中国人民银行"/>
    <x v="30"/>
    <d v="2021-11-15T00:00:00"/>
    <n v="150"/>
    <n v="1"/>
    <n v="2.75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47"/>
    <s v="BCHKFP21015.CMU"/>
    <s v="HK0000777869"/>
    <s v="央行票据 2.5 20220329"/>
    <x v="42"/>
    <s v="中国人民银行"/>
    <x v="31"/>
    <d v="2021-09-17T00:00:00"/>
    <n v="50"/>
    <n v="0.49859999999999999"/>
    <n v="2.5000000000000001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48"/>
    <s v="BCHKFP21012.CMU"/>
    <s v="HK0000757713"/>
    <s v="央行票据 2.6 20211123"/>
    <x v="43"/>
    <s v="中国人民银行"/>
    <x v="32"/>
    <d v="2021-08-16T00:00:00"/>
    <n v="100"/>
    <n v="0.24929999999999999"/>
    <n v="2.5999999999999999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49"/>
    <s v="BCHKFP21013.CMU"/>
    <s v="HK0000757721"/>
    <s v="央行票据 2.75 20220824"/>
    <x v="36"/>
    <s v="中国人民银行"/>
    <x v="32"/>
    <d v="2021-08-16T00:00:00"/>
    <n v="150"/>
    <n v="1"/>
    <n v="2.75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50"/>
    <s v="BCHKFP21007.CMU"/>
    <s v="HK0000744539"/>
    <s v="央行票据 2.54 20211227"/>
    <x v="44"/>
    <s v="中国人民银行"/>
    <x v="33"/>
    <d v="2021-06-18T00:00:00"/>
    <n v="50"/>
    <n v="0.49859999999999999"/>
    <n v="2.5399999999999999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51"/>
    <s v="BCHKFP21005.CMU"/>
    <s v="HK0000732278"/>
    <s v="央行票据 2.48 20210824"/>
    <x v="45"/>
    <s v="中国人民银行"/>
    <x v="34"/>
    <d v="2021-05-17T00:00:00"/>
    <n v="100"/>
    <n v="0.24929999999999999"/>
    <n v="2.4799999999999999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52"/>
    <s v="BCHKFP21006.CMU"/>
    <s v="HK0000732286"/>
    <s v="央行票据 2.63 20220525"/>
    <x v="38"/>
    <s v="中国人民银行"/>
    <x v="34"/>
    <d v="2021-05-17T00:00:00"/>
    <n v="150"/>
    <n v="1"/>
    <n v="2.63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53"/>
    <s v="BCHKFP21004.CMU"/>
    <s v="HK0000707411"/>
    <s v="央行票据 2.6 20210927"/>
    <x v="46"/>
    <s v="中国人民银行"/>
    <x v="35"/>
    <d v="2021-03-19T00:00:00"/>
    <n v="50"/>
    <n v="0.49859999999999999"/>
    <n v="2.5999999999999999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54"/>
    <s v="BCHKFP21002.CMU"/>
    <s v="HK0000685500"/>
    <s v="央行票据 2.7 20210525"/>
    <x v="47"/>
    <s v="中国人民银行"/>
    <x v="36"/>
    <d v="2021-02-10T00:00:00"/>
    <n v="100"/>
    <n v="0.24929999999999999"/>
    <n v="2.7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55"/>
    <s v="BCHKFP21003.CMU"/>
    <s v="HK0000685518"/>
    <s v="央行票据 2.74 20220223"/>
    <x v="48"/>
    <s v="中国人民银行"/>
    <x v="36"/>
    <d v="2021-02-10T00:00:00"/>
    <n v="150"/>
    <n v="1"/>
    <n v="2.7400000000000001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56"/>
    <s v="BCHKFP20025.CMU"/>
    <s v="HK0000671203"/>
    <s v="央行票据 2.7 20210628"/>
    <x v="49"/>
    <s v="中国人民银行"/>
    <x v="37"/>
    <d v="2020-12-17T00:00:00"/>
    <n v="100"/>
    <n v="0.49859999999999999"/>
    <n v="2.7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57"/>
    <s v="BCHKFP20021.CMU"/>
    <s v="HK0000659562"/>
    <s v="央行票据 2.85 20210215"/>
    <x v="50"/>
    <s v="中国人民银行"/>
    <x v="38"/>
    <d v="2020-11-06T00:00:00"/>
    <n v="100"/>
    <n v="0.24929999999999999"/>
    <n v="2.8500000000000001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58"/>
    <s v="BCHKFP20022.CMU"/>
    <s v="HK0000659570"/>
    <s v="中国人民银行 2.9 20211116"/>
    <x v="51"/>
    <s v="中国人民银行"/>
    <x v="38"/>
    <d v="2020-11-06T00:00:00"/>
    <n v="150"/>
    <n v="1"/>
    <n v="2.9000000000000001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59"/>
    <s v="BCHKFP20019.CMU"/>
    <s v="HK0000646684"/>
    <s v="央行票据 2.68 20210329"/>
    <x v="52"/>
    <s v="中国人民银行"/>
    <x v="39"/>
    <d v="2020-09-18T00:00:00"/>
    <n v="100"/>
    <n v="0.49859999999999999"/>
    <n v="2.6800000000000001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60"/>
    <s v="BCHKFP20016.CMU"/>
    <s v="HK0000634433"/>
    <s v="央行票据 2.7 20201116"/>
    <x v="53"/>
    <s v="中国人民银行"/>
    <x v="40"/>
    <d v="2020-08-07T00:00:00"/>
    <n v="200"/>
    <n v="0.24929999999999999"/>
    <n v="2.7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61"/>
    <s v="BCHKFP20017.CMU"/>
    <s v="HK0000634441"/>
    <s v="央行票据 2.7 20210817"/>
    <x v="54"/>
    <s v="中国人民银行"/>
    <x v="40"/>
    <d v="2020-08-07T00:00:00"/>
    <n v="100"/>
    <n v="1"/>
    <n v="2.7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62"/>
    <s v="BCHKFP20013.CMU"/>
    <s v="HK0000611829"/>
    <s v="央行票据 2.21 20201228"/>
    <x v="55"/>
    <s v="中国人民银行"/>
    <x v="41"/>
    <d v="2020-06-17T00:00:00"/>
    <n v="100"/>
    <n v="0.49859999999999999"/>
    <n v="2.2100000000000002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63"/>
    <s v="BCHKFP20008.CMU"/>
    <s v="HK0000602844"/>
    <s v="央行票据 1.77 20200817"/>
    <x v="56"/>
    <s v="中国人民银行"/>
    <x v="42"/>
    <d v="2020-05-08T00:00:00"/>
    <n v="200"/>
    <n v="0.24929999999999999"/>
    <n v="1.77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64"/>
    <s v="BCHKFP20009.CMU"/>
    <s v="HK0000602851"/>
    <s v="央行票据 1.78 20210518"/>
    <x v="57"/>
    <s v="中国人民银行"/>
    <x v="42"/>
    <d v="2020-05-08T00:00:00"/>
    <n v="100"/>
    <n v="1"/>
    <n v="1.78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65"/>
    <s v="BCHKFP20006.CMU"/>
    <s v="HK0000579653"/>
    <s v="央行票据 2.19 20200928"/>
    <x v="58"/>
    <s v="中国人民银行"/>
    <x v="43"/>
    <d v="2020-03-20T00:00:00"/>
    <n v="100"/>
    <n v="0.49859999999999999"/>
    <n v="2.1899999999999999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66"/>
    <s v="BCHKFP20002.CMU"/>
    <s v="HK0000565405"/>
    <s v="央行票据 2.55 20200518"/>
    <x v="59"/>
    <s v="中国人民银行"/>
    <x v="44"/>
    <d v="2020-02-07T00:00:00"/>
    <n v="200"/>
    <n v="0.24929999999999999"/>
    <n v="2.5499999999999998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67"/>
    <s v="BCHKFP20003.CMU"/>
    <s v="HK0000565413"/>
    <s v="央行票据 2.6 20210217"/>
    <x v="60"/>
    <s v="中国人民银行"/>
    <x v="44"/>
    <d v="2020-02-07T00:00:00"/>
    <n v="100"/>
    <n v="1"/>
    <n v="2.5999999999999999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68"/>
    <s v="BCHKFP19033.CMU"/>
    <s v="HK0000554995"/>
    <s v="中国人民银行 2.9 20200626"/>
    <x v="61"/>
    <s v="中国人民银行"/>
    <x v="45"/>
    <d v="2019-12-16T00:00:00"/>
    <n v="100"/>
    <n v="0.49859999999999999"/>
    <n v="2.9000000000000001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69"/>
    <s v="BCHKFP19028.CMU"/>
    <s v="HK0000536851"/>
    <s v="中国人民银行 2.9 20200210"/>
    <x v="62"/>
    <s v="中国人民银行"/>
    <x v="46"/>
    <d v="2019-11-01T00:00:00"/>
    <n v="200"/>
    <n v="0.24929999999999999"/>
    <n v="2.9000000000000001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70"/>
    <s v="BCHKFP19029.CMU"/>
    <s v="HK0000536869"/>
    <s v="中国人民银行 2.9 20201111"/>
    <x v="63"/>
    <s v="中国人民银行"/>
    <x v="46"/>
    <d v="2019-11-01T00:00:00"/>
    <n v="100"/>
    <n v="1"/>
    <n v="2.9000000000000001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71"/>
    <s v="BCHKFP19026.CMU"/>
    <s v="HK0000525615"/>
    <s v="央行票据 2.89 20200330"/>
    <x v="64"/>
    <s v="中国人民银行"/>
    <x v="47"/>
    <d v="2019-09-20T00:00:00"/>
    <n v="100"/>
    <n v="0.49859999999999999"/>
    <n v="2.8899999999999999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72"/>
    <s v="BCHKFP19023.CMU"/>
    <s v="HK0000523222"/>
    <s v="中国人民银行 2.9 20191115"/>
    <x v="65"/>
    <s v="中国人民银行"/>
    <x v="48"/>
    <d v="2019-08-06T00:00:00"/>
    <n v="200"/>
    <n v="0.24929999999999999"/>
    <n v="2.9000000000000001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73"/>
    <s v="BCHKFP19024.CMU"/>
    <s v="HK0000523230"/>
    <s v="中国人民银行 2.95 20200816"/>
    <x v="66"/>
    <s v="中国人民银行"/>
    <x v="48"/>
    <d v="2019-08-06T00:00:00"/>
    <n v="100"/>
    <n v="1"/>
    <n v="2.9499999999999998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74"/>
    <s v="BCMKFP19025.CMU"/>
    <s v="HK0000512175"/>
    <s v="央行票据 2.80 20190726"/>
    <x v="67"/>
    <s v="中国人民银行"/>
    <x v="49"/>
    <d v="2019-06-20T00:00:00"/>
    <n v="200"/>
    <n v="7.6700000000000004E-2"/>
    <n v="2.8000000000000001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75"/>
    <s v="BCMKFP19026.CMU"/>
    <s v="HK0000512183"/>
    <s v="央行票据 2.82 20191227"/>
    <x v="68"/>
    <s v="中国人民银行"/>
    <x v="49"/>
    <d v="2019-06-20T00:00:00"/>
    <n v="100"/>
    <n v="0.49859999999999999"/>
    <n v="2.8199999999999999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76"/>
    <s v="BCMKFP19018.CMU"/>
    <s v="HK0000502713"/>
    <s v="中国人民银行 3 20190816"/>
    <x v="69"/>
    <s v="中国人民银行"/>
    <x v="50"/>
    <d v="2019-05-07T00:00:00"/>
    <n v="100"/>
    <n v="0.24929999999999999"/>
    <n v="0.03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77"/>
    <s v="BCMKFP19019.CMU"/>
    <s v="HK0000502721"/>
    <s v="中国人民银行 3.1 20200517"/>
    <x v="70"/>
    <s v="中国人民银行"/>
    <x v="50"/>
    <d v="2019-05-07T00:00:00"/>
    <n v="100"/>
    <n v="1"/>
    <n v="3.1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78"/>
    <s v="BCMKFP19002.CMU"/>
    <s v="HK0000479920"/>
    <s v="央行票据 2.45 20190517"/>
    <x v="71"/>
    <s v="中国人民银行"/>
    <x v="51"/>
    <d v="2019-01-30T00:00:00"/>
    <n v="100"/>
    <n v="0.24929999999999999"/>
    <n v="2.4500000000000001E-2"/>
    <s v="到期一次还本付息"/>
    <s v="- /  / "/>
    <s v="- /  / "/>
    <s v="-"/>
    <s v="-"/>
    <s v="-"/>
    <s v="-"/>
    <s v="-"/>
    <m/>
    <s v="-"/>
    <s v="-"/>
    <s v="香港债务工具中央结算系统"/>
    <s v="中国人民银行"/>
    <m/>
    <m/>
  </r>
  <r>
    <n v="79"/>
    <s v="BCMKFP19003.CMU"/>
    <s v="HK0000479938"/>
    <s v="央行票据 2.80 20200215"/>
    <x v="72"/>
    <s v="中国人民银行"/>
    <x v="51"/>
    <d v="2019-01-30T00:00:00"/>
    <n v="100"/>
    <n v="1"/>
    <n v="2.8000000000000001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80"/>
    <s v="BCMKFP18022.CMU"/>
    <s v="HK0000459260"/>
    <s v="中国人民银行 3.79 20190208"/>
    <x v="73"/>
    <s v="中国人民银行"/>
    <x v="52"/>
    <d v="2018-10-31T00:00:00"/>
    <n v="100"/>
    <n v="0.24929999999999999"/>
    <n v="3.7900000000000003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  <r>
    <n v="81"/>
    <s v="BCMKFP18023.CMU"/>
    <s v="HK0000459278"/>
    <s v="中国人民银行 4.2 20191109"/>
    <x v="74"/>
    <s v="中国人民银行"/>
    <x v="52"/>
    <d v="2018-10-31T00:00:00"/>
    <n v="100"/>
    <n v="1"/>
    <n v="4.2000000000000003E-2"/>
    <s v="附息"/>
    <s v="- /  / "/>
    <s v="- /  / "/>
    <s v="-"/>
    <s v="-"/>
    <s v="-"/>
    <s v="-"/>
    <s v="-"/>
    <m/>
    <n v="2"/>
    <s v="-"/>
    <s v="香港债务工具中央结算系统"/>
    <s v="中国人民银行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C15A7-C4F8-4DB6-B852-024576A768E8}" name="数据透视表1" cacheId="4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A3:C60" firstHeaderRow="1" firstDataRow="1" firstDataCol="2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75">
        <item x="73"/>
        <item x="71"/>
        <item x="67"/>
        <item x="69"/>
        <item x="74"/>
        <item x="65"/>
        <item x="68"/>
        <item x="62"/>
        <item x="72"/>
        <item x="64"/>
        <item x="70"/>
        <item x="59"/>
        <item x="61"/>
        <item x="66"/>
        <item x="56"/>
        <item x="58"/>
        <item x="63"/>
        <item x="53"/>
        <item x="55"/>
        <item x="50"/>
        <item x="60"/>
        <item x="52"/>
        <item x="57"/>
        <item x="47"/>
        <item x="49"/>
        <item x="54"/>
        <item x="45"/>
        <item x="46"/>
        <item x="51"/>
        <item x="43"/>
        <item x="44"/>
        <item x="41"/>
        <item x="48"/>
        <item x="42"/>
        <item x="38"/>
        <item x="40"/>
        <item x="36"/>
        <item x="37"/>
        <item x="34"/>
        <item x="35"/>
        <item x="32"/>
        <item x="39"/>
        <item x="33"/>
        <item x="30"/>
        <item x="31"/>
        <item x="27"/>
        <item x="28"/>
        <item x="24"/>
        <item x="25"/>
        <item x="20"/>
        <item x="29"/>
        <item x="22"/>
        <item x="17"/>
        <item x="26"/>
        <item x="19"/>
        <item x="14"/>
        <item x="23"/>
        <item x="16"/>
        <item x="11"/>
        <item x="21"/>
        <item x="13"/>
        <item x="8"/>
        <item x="18"/>
        <item x="10"/>
        <item x="4"/>
        <item x="15"/>
        <item x="7"/>
        <item x="6"/>
        <item x="12"/>
        <item x="9"/>
        <item x="1"/>
        <item x="3"/>
        <item x="5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53"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sd="0" x="0"/>
        <item sd="0" x="1"/>
        <item x="2"/>
        <item sd="0" x="3"/>
        <item sd="0" x="4"/>
        <item x="5"/>
        <item sd="0" x="6"/>
        <item x="7"/>
        <item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sd="0" x="0"/>
        <item x="1"/>
        <item x="2"/>
        <item x="3"/>
        <item x="4"/>
        <item x="5"/>
        <item x="6"/>
        <item x="7"/>
        <item x="8"/>
        <item sd="0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8"/>
    <field x="26"/>
  </rowFields>
  <rowItems count="57">
    <i>
      <x v="1"/>
      <x v="2"/>
    </i>
    <i r="1">
      <x v="5"/>
    </i>
    <i r="1">
      <x v="7"/>
    </i>
    <i r="1">
      <x v="8"/>
    </i>
    <i r="1">
      <x v="11"/>
    </i>
    <i r="1">
      <x v="12"/>
    </i>
    <i>
      <x v="2"/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>
      <x v="3"/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>
      <x v="4"/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>
      <x v="5"/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>
      <x v="6"/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>
      <x v="7"/>
      <x v="2"/>
    </i>
    <i r="1">
      <x v="3"/>
    </i>
    <i r="1">
      <x v="5"/>
    </i>
    <i r="1">
      <x v="6"/>
    </i>
    <i r="1">
      <x v="7"/>
    </i>
    <i r="1">
      <x v="8"/>
    </i>
    <i r="1">
      <x v="11"/>
    </i>
    <i r="1">
      <x v="12"/>
    </i>
    <i>
      <x v="8"/>
      <x v="2"/>
    </i>
    <i r="1">
      <x v="3"/>
    </i>
    <i r="1">
      <x v="8"/>
    </i>
  </rowItems>
  <colItems count="1">
    <i/>
  </colItems>
  <dataFields count="1">
    <dataField name="求和项:预计发行总额(亿元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B296-63BC-4C55-A01E-E971FAC3C884}">
  <dimension ref="A3:C60"/>
  <sheetViews>
    <sheetView zoomScale="68" workbookViewId="0">
      <selection activeCell="D43" sqref="D43"/>
    </sheetView>
  </sheetViews>
  <sheetFormatPr defaultRowHeight="13.5" x14ac:dyDescent="0.3"/>
  <cols>
    <col min="1" max="1" width="10.33203125" bestFit="1" customWidth="1"/>
    <col min="2" max="2" width="13.46484375" bestFit="1" customWidth="1"/>
    <col min="3" max="4" width="27.265625" bestFit="1" customWidth="1"/>
    <col min="5" max="6" width="9.265625" bestFit="1" customWidth="1"/>
    <col min="7" max="7" width="27.265625" bestFit="1" customWidth="1"/>
  </cols>
  <sheetData>
    <row r="3" spans="1:3" x14ac:dyDescent="0.3">
      <c r="A3" s="42" t="s">
        <v>297</v>
      </c>
      <c r="B3" s="42" t="s">
        <v>298</v>
      </c>
      <c r="C3" t="s">
        <v>288</v>
      </c>
    </row>
    <row r="4" spans="1:3" x14ac:dyDescent="0.3">
      <c r="A4" t="s">
        <v>279</v>
      </c>
      <c r="B4" t="s">
        <v>287</v>
      </c>
      <c r="C4" s="43">
        <v>100</v>
      </c>
    </row>
    <row r="5" spans="1:3" x14ac:dyDescent="0.3">
      <c r="A5" t="s">
        <v>279</v>
      </c>
      <c r="B5" t="s">
        <v>290</v>
      </c>
      <c r="C5" s="43">
        <v>100</v>
      </c>
    </row>
    <row r="6" spans="1:3" x14ac:dyDescent="0.3">
      <c r="A6" t="s">
        <v>279</v>
      </c>
      <c r="B6" t="s">
        <v>299</v>
      </c>
      <c r="C6" s="43">
        <v>200</v>
      </c>
    </row>
    <row r="7" spans="1:3" x14ac:dyDescent="0.3">
      <c r="A7" t="s">
        <v>279</v>
      </c>
      <c r="B7" t="s">
        <v>292</v>
      </c>
      <c r="C7" s="43">
        <v>100</v>
      </c>
    </row>
    <row r="8" spans="1:3" x14ac:dyDescent="0.3">
      <c r="A8" t="s">
        <v>279</v>
      </c>
      <c r="B8" t="s">
        <v>294</v>
      </c>
      <c r="C8" s="43">
        <v>300</v>
      </c>
    </row>
    <row r="9" spans="1:3" x14ac:dyDescent="0.3">
      <c r="A9" t="s">
        <v>279</v>
      </c>
      <c r="B9" t="s">
        <v>295</v>
      </c>
      <c r="C9" s="43">
        <v>100</v>
      </c>
    </row>
    <row r="10" spans="1:3" x14ac:dyDescent="0.3">
      <c r="A10" t="s">
        <v>280</v>
      </c>
      <c r="B10" t="s">
        <v>287</v>
      </c>
      <c r="C10" s="43">
        <v>300</v>
      </c>
    </row>
    <row r="11" spans="1:3" x14ac:dyDescent="0.3">
      <c r="A11" t="s">
        <v>280</v>
      </c>
      <c r="B11" t="s">
        <v>289</v>
      </c>
      <c r="C11" s="43">
        <v>100</v>
      </c>
    </row>
    <row r="12" spans="1:3" x14ac:dyDescent="0.3">
      <c r="A12" t="s">
        <v>280</v>
      </c>
      <c r="B12" t="s">
        <v>290</v>
      </c>
      <c r="C12" s="43">
        <v>300</v>
      </c>
    </row>
    <row r="13" spans="1:3" x14ac:dyDescent="0.3">
      <c r="A13" t="s">
        <v>280</v>
      </c>
      <c r="B13" t="s">
        <v>291</v>
      </c>
      <c r="C13" s="43">
        <v>100</v>
      </c>
    </row>
    <row r="14" spans="1:3" x14ac:dyDescent="0.3">
      <c r="A14" t="s">
        <v>280</v>
      </c>
      <c r="B14" t="s">
        <v>292</v>
      </c>
      <c r="C14" s="43">
        <v>300</v>
      </c>
    </row>
    <row r="15" spans="1:3" x14ac:dyDescent="0.3">
      <c r="A15" t="s">
        <v>280</v>
      </c>
      <c r="B15" t="s">
        <v>293</v>
      </c>
      <c r="C15" s="43">
        <v>100</v>
      </c>
    </row>
    <row r="16" spans="1:3" x14ac:dyDescent="0.3">
      <c r="A16" t="s">
        <v>280</v>
      </c>
      <c r="B16" t="s">
        <v>294</v>
      </c>
      <c r="C16" s="43">
        <v>300</v>
      </c>
    </row>
    <row r="17" spans="1:3" x14ac:dyDescent="0.3">
      <c r="A17" t="s">
        <v>280</v>
      </c>
      <c r="B17" t="s">
        <v>295</v>
      </c>
      <c r="C17" s="43">
        <v>100</v>
      </c>
    </row>
    <row r="18" spans="1:3" x14ac:dyDescent="0.3">
      <c r="A18" t="s">
        <v>281</v>
      </c>
      <c r="B18" t="s">
        <v>287</v>
      </c>
      <c r="C18" s="43">
        <v>200</v>
      </c>
    </row>
    <row r="19" spans="1:3" x14ac:dyDescent="0.3">
      <c r="A19" t="s">
        <v>281</v>
      </c>
      <c r="B19" t="s">
        <v>289</v>
      </c>
      <c r="C19" s="43">
        <v>100</v>
      </c>
    </row>
    <row r="20" spans="1:3" x14ac:dyDescent="0.3">
      <c r="A20" t="s">
        <v>281</v>
      </c>
      <c r="B20" t="s">
        <v>290</v>
      </c>
      <c r="C20" s="43">
        <v>200</v>
      </c>
    </row>
    <row r="21" spans="1:3" x14ac:dyDescent="0.3">
      <c r="A21" t="s">
        <v>281</v>
      </c>
      <c r="B21" t="s">
        <v>291</v>
      </c>
      <c r="C21" s="43">
        <v>100</v>
      </c>
    </row>
    <row r="22" spans="1:3" x14ac:dyDescent="0.3">
      <c r="A22" t="s">
        <v>281</v>
      </c>
      <c r="B22" t="s">
        <v>292</v>
      </c>
      <c r="C22" s="43">
        <v>200</v>
      </c>
    </row>
    <row r="23" spans="1:3" x14ac:dyDescent="0.3">
      <c r="A23" t="s">
        <v>281</v>
      </c>
      <c r="B23" t="s">
        <v>293</v>
      </c>
      <c r="C23" s="43">
        <v>50</v>
      </c>
    </row>
    <row r="24" spans="1:3" x14ac:dyDescent="0.3">
      <c r="A24" t="s">
        <v>281</v>
      </c>
      <c r="B24" t="s">
        <v>294</v>
      </c>
      <c r="C24" s="43">
        <v>250</v>
      </c>
    </row>
    <row r="25" spans="1:3" x14ac:dyDescent="0.3">
      <c r="A25" t="s">
        <v>281</v>
      </c>
      <c r="B25" t="s">
        <v>295</v>
      </c>
      <c r="C25" s="43">
        <v>50</v>
      </c>
    </row>
    <row r="26" spans="1:3" x14ac:dyDescent="0.3">
      <c r="A26" t="s">
        <v>282</v>
      </c>
      <c r="B26" t="s">
        <v>287</v>
      </c>
      <c r="C26" s="43">
        <v>250</v>
      </c>
    </row>
    <row r="27" spans="1:3" x14ac:dyDescent="0.3">
      <c r="A27" t="s">
        <v>282</v>
      </c>
      <c r="B27" t="s">
        <v>289</v>
      </c>
      <c r="C27" s="43">
        <v>50</v>
      </c>
    </row>
    <row r="28" spans="1:3" x14ac:dyDescent="0.3">
      <c r="A28" t="s">
        <v>282</v>
      </c>
      <c r="B28" t="s">
        <v>290</v>
      </c>
      <c r="C28" s="43">
        <v>250</v>
      </c>
    </row>
    <row r="29" spans="1:3" x14ac:dyDescent="0.3">
      <c r="A29" t="s">
        <v>282</v>
      </c>
      <c r="B29" t="s">
        <v>291</v>
      </c>
      <c r="C29" s="43">
        <v>50</v>
      </c>
    </row>
    <row r="30" spans="1:3" x14ac:dyDescent="0.3">
      <c r="A30" t="s">
        <v>282</v>
      </c>
      <c r="B30" t="s">
        <v>292</v>
      </c>
      <c r="C30" s="43">
        <v>250</v>
      </c>
    </row>
    <row r="31" spans="1:3" x14ac:dyDescent="0.3">
      <c r="A31" t="s">
        <v>282</v>
      </c>
      <c r="B31" t="s">
        <v>293</v>
      </c>
      <c r="C31" s="43">
        <v>50</v>
      </c>
    </row>
    <row r="32" spans="1:3" x14ac:dyDescent="0.3">
      <c r="A32" t="s">
        <v>282</v>
      </c>
      <c r="B32" t="s">
        <v>294</v>
      </c>
      <c r="C32" s="43">
        <v>250</v>
      </c>
    </row>
    <row r="33" spans="1:3" x14ac:dyDescent="0.3">
      <c r="A33" t="s">
        <v>282</v>
      </c>
      <c r="B33" t="s">
        <v>295</v>
      </c>
      <c r="C33" s="43">
        <v>50</v>
      </c>
    </row>
    <row r="34" spans="1:3" x14ac:dyDescent="0.3">
      <c r="A34" t="s">
        <v>283</v>
      </c>
      <c r="B34" t="s">
        <v>287</v>
      </c>
      <c r="C34" s="43">
        <v>250</v>
      </c>
    </row>
    <row r="35" spans="1:3" x14ac:dyDescent="0.3">
      <c r="A35" t="s">
        <v>283</v>
      </c>
      <c r="B35" t="s">
        <v>289</v>
      </c>
      <c r="C35" s="43">
        <v>50</v>
      </c>
    </row>
    <row r="36" spans="1:3" x14ac:dyDescent="0.3">
      <c r="A36" t="s">
        <v>283</v>
      </c>
      <c r="B36" t="s">
        <v>290</v>
      </c>
      <c r="C36" s="43">
        <v>250</v>
      </c>
    </row>
    <row r="37" spans="1:3" x14ac:dyDescent="0.3">
      <c r="A37" t="s">
        <v>283</v>
      </c>
      <c r="B37" t="s">
        <v>291</v>
      </c>
      <c r="C37" s="43">
        <v>50</v>
      </c>
    </row>
    <row r="38" spans="1:3" x14ac:dyDescent="0.3">
      <c r="A38" t="s">
        <v>283</v>
      </c>
      <c r="B38" t="s">
        <v>292</v>
      </c>
      <c r="C38" s="43">
        <v>250</v>
      </c>
    </row>
    <row r="39" spans="1:3" x14ac:dyDescent="0.3">
      <c r="A39" t="s">
        <v>283</v>
      </c>
      <c r="B39" t="s">
        <v>293</v>
      </c>
      <c r="C39" s="43">
        <v>50</v>
      </c>
    </row>
    <row r="40" spans="1:3" x14ac:dyDescent="0.3">
      <c r="A40" t="s">
        <v>283</v>
      </c>
      <c r="B40" t="s">
        <v>294</v>
      </c>
      <c r="C40" s="43">
        <v>350</v>
      </c>
    </row>
    <row r="41" spans="1:3" x14ac:dyDescent="0.3">
      <c r="A41" t="s">
        <v>283</v>
      </c>
      <c r="B41" t="s">
        <v>295</v>
      </c>
      <c r="C41" s="43">
        <v>50</v>
      </c>
    </row>
    <row r="42" spans="1:3" x14ac:dyDescent="0.3">
      <c r="A42" t="s">
        <v>284</v>
      </c>
      <c r="B42" t="s">
        <v>287</v>
      </c>
      <c r="C42" s="43">
        <v>450</v>
      </c>
    </row>
    <row r="43" spans="1:3" x14ac:dyDescent="0.3">
      <c r="A43" t="s">
        <v>284</v>
      </c>
      <c r="B43" t="s">
        <v>289</v>
      </c>
      <c r="C43" s="43">
        <v>150</v>
      </c>
    </row>
    <row r="44" spans="1:3" x14ac:dyDescent="0.3">
      <c r="A44" t="s">
        <v>284</v>
      </c>
      <c r="B44" t="s">
        <v>290</v>
      </c>
      <c r="C44" s="43">
        <v>450</v>
      </c>
    </row>
    <row r="45" spans="1:3" x14ac:dyDescent="0.3">
      <c r="A45" t="s">
        <v>284</v>
      </c>
      <c r="B45" t="s">
        <v>291</v>
      </c>
      <c r="C45" s="43">
        <v>50</v>
      </c>
    </row>
    <row r="46" spans="1:3" x14ac:dyDescent="0.3">
      <c r="A46" t="s">
        <v>284</v>
      </c>
      <c r="B46" t="s">
        <v>292</v>
      </c>
      <c r="C46" s="43">
        <v>450</v>
      </c>
    </row>
    <row r="47" spans="1:3" x14ac:dyDescent="0.3">
      <c r="A47" t="s">
        <v>284</v>
      </c>
      <c r="B47" t="s">
        <v>293</v>
      </c>
      <c r="C47" s="43">
        <v>250</v>
      </c>
    </row>
    <row r="48" spans="1:3" x14ac:dyDescent="0.3">
      <c r="A48" t="s">
        <v>284</v>
      </c>
      <c r="B48" t="s">
        <v>294</v>
      </c>
      <c r="C48" s="43">
        <v>450</v>
      </c>
    </row>
    <row r="49" spans="1:3" x14ac:dyDescent="0.3">
      <c r="A49" t="s">
        <v>284</v>
      </c>
      <c r="B49" t="s">
        <v>295</v>
      </c>
      <c r="C49" s="43">
        <v>200</v>
      </c>
    </row>
    <row r="50" spans="1:3" x14ac:dyDescent="0.3">
      <c r="A50" t="s">
        <v>285</v>
      </c>
      <c r="B50" t="s">
        <v>287</v>
      </c>
      <c r="C50" s="43">
        <v>450</v>
      </c>
    </row>
    <row r="51" spans="1:3" x14ac:dyDescent="0.3">
      <c r="A51" t="s">
        <v>285</v>
      </c>
      <c r="B51" t="s">
        <v>289</v>
      </c>
      <c r="C51" s="43">
        <v>250</v>
      </c>
    </row>
    <row r="52" spans="1:3" x14ac:dyDescent="0.3">
      <c r="A52" t="s">
        <v>285</v>
      </c>
      <c r="B52" t="s">
        <v>290</v>
      </c>
      <c r="C52" s="43">
        <v>600</v>
      </c>
    </row>
    <row r="53" spans="1:3" x14ac:dyDescent="0.3">
      <c r="A53" t="s">
        <v>285</v>
      </c>
      <c r="B53" t="s">
        <v>291</v>
      </c>
      <c r="C53" s="43">
        <v>200</v>
      </c>
    </row>
    <row r="54" spans="1:3" x14ac:dyDescent="0.3">
      <c r="A54" t="s">
        <v>285</v>
      </c>
      <c r="B54" t="s">
        <v>299</v>
      </c>
      <c r="C54" s="43">
        <v>600</v>
      </c>
    </row>
    <row r="55" spans="1:3" x14ac:dyDescent="0.3">
      <c r="A55" t="s">
        <v>285</v>
      </c>
      <c r="B55" t="s">
        <v>292</v>
      </c>
      <c r="C55" s="43">
        <v>150</v>
      </c>
    </row>
    <row r="56" spans="1:3" x14ac:dyDescent="0.3">
      <c r="A56" t="s">
        <v>285</v>
      </c>
      <c r="B56" t="s">
        <v>294</v>
      </c>
      <c r="C56" s="43">
        <v>450</v>
      </c>
    </row>
    <row r="57" spans="1:3" x14ac:dyDescent="0.3">
      <c r="A57" t="s">
        <v>285</v>
      </c>
      <c r="B57" t="s">
        <v>295</v>
      </c>
      <c r="C57" s="43">
        <v>300</v>
      </c>
    </row>
    <row r="58" spans="1:3" x14ac:dyDescent="0.3">
      <c r="A58" t="s">
        <v>286</v>
      </c>
      <c r="B58" t="s">
        <v>287</v>
      </c>
      <c r="C58" s="43">
        <v>200</v>
      </c>
    </row>
    <row r="59" spans="1:3" x14ac:dyDescent="0.3">
      <c r="A59" t="s">
        <v>286</v>
      </c>
      <c r="B59" t="s">
        <v>289</v>
      </c>
      <c r="C59" s="43">
        <v>600</v>
      </c>
    </row>
    <row r="60" spans="1:3" x14ac:dyDescent="0.3">
      <c r="A60" t="s">
        <v>286</v>
      </c>
      <c r="B60" t="s">
        <v>292</v>
      </c>
      <c r="C60" s="43">
        <v>150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82"/>
  <sheetViews>
    <sheetView zoomScale="106" workbookViewId="0">
      <selection activeCell="H1" sqref="H1"/>
    </sheetView>
  </sheetViews>
  <sheetFormatPr defaultColWidth="9" defaultRowHeight="13.5" x14ac:dyDescent="0.3"/>
  <cols>
    <col min="1" max="1" width="12.3984375" style="1" customWidth="1"/>
    <col min="2" max="2" width="19.59765625" style="1" bestFit="1" customWidth="1"/>
    <col min="3" max="3" width="14.6640625" style="1" bestFit="1" customWidth="1"/>
    <col min="4" max="4" width="27.3984375" style="1" bestFit="1" customWidth="1"/>
    <col min="5" max="5" width="27.3984375" style="35" customWidth="1"/>
    <col min="6" max="6" width="13.265625" style="1" bestFit="1" customWidth="1"/>
    <col min="7" max="7" width="13.265625" style="1" customWidth="1"/>
    <col min="8" max="8" width="11.796875" style="1"/>
    <col min="9" max="9" width="7.06640625" style="1" bestFit="1" customWidth="1"/>
    <col min="10" max="11" width="9" style="1"/>
    <col min="12" max="12" width="10.73046875" style="1" customWidth="1"/>
    <col min="13" max="16384" width="9" style="1"/>
  </cols>
  <sheetData>
    <row r="1" spans="1:26" s="41" customFormat="1" ht="40.9" x14ac:dyDescent="0.3">
      <c r="A1" s="40" t="s">
        <v>278</v>
      </c>
      <c r="B1" s="37" t="s">
        <v>0</v>
      </c>
      <c r="C1" s="37" t="s">
        <v>274</v>
      </c>
      <c r="D1" s="37" t="s">
        <v>1</v>
      </c>
      <c r="E1" s="38" t="s">
        <v>275</v>
      </c>
      <c r="F1" s="37" t="s">
        <v>2</v>
      </c>
      <c r="G1" s="39" t="s">
        <v>277</v>
      </c>
      <c r="H1" s="37" t="s">
        <v>3</v>
      </c>
      <c r="I1" s="37" t="s">
        <v>4</v>
      </c>
      <c r="J1" s="37" t="s">
        <v>5</v>
      </c>
      <c r="K1" s="37" t="s">
        <v>6</v>
      </c>
      <c r="L1" s="37" t="s">
        <v>7</v>
      </c>
      <c r="M1" s="37" t="s">
        <v>8</v>
      </c>
      <c r="N1" s="37" t="s">
        <v>9</v>
      </c>
      <c r="O1" s="37" t="s">
        <v>10</v>
      </c>
      <c r="P1" s="37" t="s">
        <v>11</v>
      </c>
      <c r="Q1" s="37" t="s">
        <v>12</v>
      </c>
      <c r="R1" s="37" t="s">
        <v>13</v>
      </c>
      <c r="S1" s="37" t="s">
        <v>14</v>
      </c>
      <c r="T1" s="37" t="s">
        <v>15</v>
      </c>
      <c r="U1" s="37" t="s">
        <v>16</v>
      </c>
      <c r="V1" s="37" t="s">
        <v>17</v>
      </c>
      <c r="W1" s="37" t="s">
        <v>18</v>
      </c>
      <c r="X1" s="37" t="s">
        <v>19</v>
      </c>
      <c r="Y1" s="37" t="s">
        <v>20</v>
      </c>
      <c r="Z1" s="37" t="s">
        <v>21</v>
      </c>
    </row>
    <row r="2" spans="1:26" x14ac:dyDescent="0.3">
      <c r="A2" s="2">
        <v>1</v>
      </c>
      <c r="B2" s="3" t="s">
        <v>22</v>
      </c>
      <c r="C2" s="3" t="s">
        <v>23</v>
      </c>
      <c r="D2" s="3" t="s">
        <v>24</v>
      </c>
      <c r="E2" s="35">
        <v>46106</v>
      </c>
      <c r="F2" s="4" t="s">
        <v>25</v>
      </c>
      <c r="G2" s="36">
        <f>DATE(YEAR(H2),MONTH(H2),1)</f>
        <v>45901</v>
      </c>
      <c r="H2" s="5">
        <v>45918</v>
      </c>
      <c r="I2" s="6">
        <v>600</v>
      </c>
      <c r="J2" s="6">
        <v>0.49859999999999999</v>
      </c>
      <c r="K2" s="22">
        <v>1.72E-2</v>
      </c>
      <c r="L2" s="4" t="s">
        <v>26</v>
      </c>
      <c r="M2" s="4" t="s">
        <v>27</v>
      </c>
      <c r="N2" s="4" t="s">
        <v>27</v>
      </c>
      <c r="O2" s="4" t="s">
        <v>28</v>
      </c>
      <c r="P2" s="23" t="s">
        <v>28</v>
      </c>
      <c r="Q2" s="4" t="s">
        <v>28</v>
      </c>
      <c r="R2" s="4" t="s">
        <v>28</v>
      </c>
      <c r="S2" s="4" t="s">
        <v>28</v>
      </c>
      <c r="U2" s="4" t="s">
        <v>28</v>
      </c>
      <c r="V2" s="4" t="s">
        <v>28</v>
      </c>
      <c r="W2" s="4" t="s">
        <v>29</v>
      </c>
      <c r="X2" s="4" t="s">
        <v>25</v>
      </c>
    </row>
    <row r="3" spans="1:26" x14ac:dyDescent="0.3">
      <c r="A3" s="2">
        <v>2</v>
      </c>
      <c r="B3" s="3" t="s">
        <v>30</v>
      </c>
      <c r="C3" s="3" t="s">
        <v>31</v>
      </c>
      <c r="D3" s="3" t="s">
        <v>32</v>
      </c>
      <c r="E3" s="35">
        <v>45987</v>
      </c>
      <c r="F3" s="4" t="s">
        <v>25</v>
      </c>
      <c r="G3" s="36">
        <f t="shared" ref="G3:G66" si="0">DATE(YEAR(H3),MONTH(H3),1)</f>
        <v>45870</v>
      </c>
      <c r="H3" s="5">
        <v>45890</v>
      </c>
      <c r="I3" s="6">
        <v>300</v>
      </c>
      <c r="J3" s="6">
        <v>0.24929999999999999</v>
      </c>
      <c r="K3" s="22">
        <v>1.6E-2</v>
      </c>
      <c r="L3" s="4" t="s">
        <v>26</v>
      </c>
      <c r="M3" s="4" t="s">
        <v>27</v>
      </c>
      <c r="N3" s="4" t="s">
        <v>27</v>
      </c>
      <c r="O3" s="4" t="s">
        <v>28</v>
      </c>
      <c r="P3" s="23" t="s">
        <v>28</v>
      </c>
      <c r="Q3" s="4" t="s">
        <v>28</v>
      </c>
      <c r="R3" s="4" t="s">
        <v>28</v>
      </c>
      <c r="S3" s="4" t="s">
        <v>28</v>
      </c>
      <c r="U3" s="4" t="s">
        <v>28</v>
      </c>
      <c r="V3" s="4" t="s">
        <v>28</v>
      </c>
      <c r="W3" s="4" t="s">
        <v>29</v>
      </c>
      <c r="X3" s="4" t="s">
        <v>25</v>
      </c>
    </row>
    <row r="4" spans="1:26" x14ac:dyDescent="0.3">
      <c r="A4" s="2">
        <v>3</v>
      </c>
      <c r="B4" s="3" t="s">
        <v>33</v>
      </c>
      <c r="C4" s="3" t="s">
        <v>34</v>
      </c>
      <c r="D4" s="3" t="s">
        <v>35</v>
      </c>
      <c r="E4" s="35">
        <v>46261</v>
      </c>
      <c r="F4" s="7" t="s">
        <v>25</v>
      </c>
      <c r="G4" s="36">
        <f t="shared" si="0"/>
        <v>45870</v>
      </c>
      <c r="H4" s="8">
        <v>45890</v>
      </c>
      <c r="I4" s="9">
        <v>150</v>
      </c>
      <c r="J4" s="9">
        <v>1</v>
      </c>
      <c r="K4" s="24">
        <v>1.6199999999999999E-2</v>
      </c>
      <c r="L4" s="7" t="s">
        <v>26</v>
      </c>
      <c r="M4" s="7" t="s">
        <v>27</v>
      </c>
      <c r="N4" s="7" t="s">
        <v>27</v>
      </c>
      <c r="O4" s="7" t="s">
        <v>28</v>
      </c>
      <c r="P4" s="25" t="s">
        <v>28</v>
      </c>
      <c r="Q4" s="7" t="s">
        <v>28</v>
      </c>
      <c r="R4" s="7" t="s">
        <v>28</v>
      </c>
      <c r="S4" s="7" t="s">
        <v>28</v>
      </c>
      <c r="U4" s="31">
        <v>2</v>
      </c>
      <c r="V4" s="7" t="s">
        <v>28</v>
      </c>
      <c r="W4" s="7" t="s">
        <v>29</v>
      </c>
      <c r="X4" s="7" t="s">
        <v>25</v>
      </c>
    </row>
    <row r="5" spans="1:26" x14ac:dyDescent="0.3">
      <c r="A5" s="2">
        <v>4</v>
      </c>
      <c r="B5" s="3" t="s">
        <v>36</v>
      </c>
      <c r="C5" s="3" t="s">
        <v>37</v>
      </c>
      <c r="D5" s="3" t="s">
        <v>38</v>
      </c>
      <c r="E5" s="35">
        <v>46010</v>
      </c>
      <c r="F5" s="4" t="s">
        <v>25</v>
      </c>
      <c r="G5" s="36">
        <f t="shared" si="0"/>
        <v>45809</v>
      </c>
      <c r="H5" s="5">
        <v>45824</v>
      </c>
      <c r="I5" s="6">
        <v>300</v>
      </c>
      <c r="J5" s="6">
        <v>0.49859999999999999</v>
      </c>
      <c r="K5" s="22">
        <v>1.4500000000000001E-2</v>
      </c>
      <c r="L5" s="4" t="s">
        <v>26</v>
      </c>
      <c r="M5" s="4" t="s">
        <v>27</v>
      </c>
      <c r="N5" s="4" t="s">
        <v>27</v>
      </c>
      <c r="O5" s="4" t="s">
        <v>28</v>
      </c>
      <c r="P5" s="23" t="s">
        <v>28</v>
      </c>
      <c r="Q5" s="4" t="s">
        <v>28</v>
      </c>
      <c r="R5" s="4" t="s">
        <v>28</v>
      </c>
      <c r="S5" s="4" t="s">
        <v>28</v>
      </c>
      <c r="U5" s="4" t="s">
        <v>28</v>
      </c>
      <c r="V5" s="4" t="s">
        <v>28</v>
      </c>
      <c r="W5" s="4" t="s">
        <v>29</v>
      </c>
      <c r="X5" s="4" t="s">
        <v>25</v>
      </c>
    </row>
    <row r="6" spans="1:26" x14ac:dyDescent="0.3">
      <c r="A6" s="2">
        <v>5</v>
      </c>
      <c r="B6" s="3" t="s">
        <v>39</v>
      </c>
      <c r="C6" s="3" t="s">
        <v>40</v>
      </c>
      <c r="D6" s="3" t="s">
        <v>41</v>
      </c>
      <c r="E6" s="35">
        <v>45797</v>
      </c>
      <c r="F6" s="7" t="s">
        <v>25</v>
      </c>
      <c r="G6" s="36">
        <f t="shared" si="0"/>
        <v>45689</v>
      </c>
      <c r="H6" s="8">
        <v>45700</v>
      </c>
      <c r="I6" s="9">
        <v>400</v>
      </c>
      <c r="J6" s="9">
        <v>0.24929999999999999</v>
      </c>
      <c r="K6" s="24">
        <v>2.5999999999999999E-2</v>
      </c>
      <c r="L6" s="7" t="s">
        <v>26</v>
      </c>
      <c r="M6" s="7" t="s">
        <v>27</v>
      </c>
      <c r="N6" s="7" t="s">
        <v>27</v>
      </c>
      <c r="O6" s="7" t="s">
        <v>28</v>
      </c>
      <c r="P6" s="25" t="s">
        <v>28</v>
      </c>
      <c r="Q6" s="7" t="s">
        <v>28</v>
      </c>
      <c r="R6" s="7" t="s">
        <v>28</v>
      </c>
      <c r="S6" s="7" t="s">
        <v>28</v>
      </c>
      <c r="U6" s="7" t="s">
        <v>28</v>
      </c>
      <c r="V6" s="7" t="s">
        <v>28</v>
      </c>
      <c r="W6" s="7" t="s">
        <v>29</v>
      </c>
      <c r="X6" s="7" t="s">
        <v>25</v>
      </c>
    </row>
    <row r="7" spans="1:26" x14ac:dyDescent="0.3">
      <c r="A7" s="2">
        <v>6</v>
      </c>
      <c r="B7" s="3" t="s">
        <v>42</v>
      </c>
      <c r="C7" s="3" t="s">
        <v>43</v>
      </c>
      <c r="D7" s="3" t="s">
        <v>44</v>
      </c>
      <c r="E7" s="35">
        <v>46071</v>
      </c>
      <c r="F7" s="4" t="s">
        <v>25</v>
      </c>
      <c r="G7" s="36">
        <f t="shared" si="0"/>
        <v>45689</v>
      </c>
      <c r="H7" s="5">
        <v>45700</v>
      </c>
      <c r="I7" s="6">
        <v>200</v>
      </c>
      <c r="J7" s="6">
        <v>1</v>
      </c>
      <c r="K7" s="22">
        <v>2.3199999999999998E-2</v>
      </c>
      <c r="L7" s="4" t="s">
        <v>26</v>
      </c>
      <c r="M7" s="4" t="s">
        <v>27</v>
      </c>
      <c r="N7" s="4" t="s">
        <v>27</v>
      </c>
      <c r="O7" s="4" t="s">
        <v>28</v>
      </c>
      <c r="P7" s="23" t="s">
        <v>28</v>
      </c>
      <c r="Q7" s="4" t="s">
        <v>28</v>
      </c>
      <c r="R7" s="4" t="s">
        <v>28</v>
      </c>
      <c r="S7" s="4" t="s">
        <v>28</v>
      </c>
      <c r="U7" s="32">
        <v>2</v>
      </c>
      <c r="V7" s="4" t="s">
        <v>28</v>
      </c>
      <c r="W7" s="4" t="s">
        <v>29</v>
      </c>
      <c r="X7" s="4" t="s">
        <v>25</v>
      </c>
    </row>
    <row r="8" spans="1:26" x14ac:dyDescent="0.3">
      <c r="A8" s="2">
        <v>7</v>
      </c>
      <c r="B8" s="3" t="s">
        <v>45</v>
      </c>
      <c r="C8" s="3" t="s">
        <v>46</v>
      </c>
      <c r="D8" s="3" t="s">
        <v>47</v>
      </c>
      <c r="E8" s="35">
        <v>45856</v>
      </c>
      <c r="F8" s="7" t="s">
        <v>25</v>
      </c>
      <c r="G8" s="36">
        <f t="shared" si="0"/>
        <v>45658</v>
      </c>
      <c r="H8" s="8">
        <v>45666</v>
      </c>
      <c r="I8" s="9">
        <v>600</v>
      </c>
      <c r="J8" s="9">
        <v>0.49859999999999999</v>
      </c>
      <c r="K8" s="24">
        <v>3.4000000000000002E-2</v>
      </c>
      <c r="L8" s="7" t="s">
        <v>26</v>
      </c>
      <c r="M8" s="7" t="s">
        <v>27</v>
      </c>
      <c r="N8" s="7" t="s">
        <v>27</v>
      </c>
      <c r="O8" s="7" t="s">
        <v>28</v>
      </c>
      <c r="P8" s="25" t="s">
        <v>28</v>
      </c>
      <c r="Q8" s="7" t="s">
        <v>28</v>
      </c>
      <c r="R8" s="7" t="s">
        <v>28</v>
      </c>
      <c r="S8" s="7" t="s">
        <v>28</v>
      </c>
      <c r="U8" s="7" t="s">
        <v>28</v>
      </c>
      <c r="V8" s="7" t="s">
        <v>28</v>
      </c>
      <c r="W8" s="7" t="s">
        <v>29</v>
      </c>
      <c r="X8" s="7" t="s">
        <v>25</v>
      </c>
    </row>
    <row r="9" spans="1:26" x14ac:dyDescent="0.3">
      <c r="A9" s="2">
        <v>8</v>
      </c>
      <c r="B9" s="3" t="s">
        <v>48</v>
      </c>
      <c r="C9" s="3" t="s">
        <v>49</v>
      </c>
      <c r="D9" s="3" t="s">
        <v>50</v>
      </c>
      <c r="E9" s="35">
        <v>45828</v>
      </c>
      <c r="F9" s="4" t="s">
        <v>25</v>
      </c>
      <c r="G9" s="36">
        <f t="shared" si="0"/>
        <v>45627</v>
      </c>
      <c r="H9" s="5">
        <v>45638</v>
      </c>
      <c r="I9" s="6">
        <v>200</v>
      </c>
      <c r="J9" s="6">
        <v>0.49859999999999999</v>
      </c>
      <c r="K9" s="22">
        <v>2.5499999999999998E-2</v>
      </c>
      <c r="L9" s="4" t="s">
        <v>26</v>
      </c>
      <c r="M9" s="4" t="s">
        <v>27</v>
      </c>
      <c r="N9" s="4" t="s">
        <v>27</v>
      </c>
      <c r="O9" s="4" t="s">
        <v>28</v>
      </c>
      <c r="P9" s="23" t="s">
        <v>28</v>
      </c>
      <c r="Q9" s="4" t="s">
        <v>28</v>
      </c>
      <c r="R9" s="4" t="s">
        <v>28</v>
      </c>
      <c r="S9" s="4" t="s">
        <v>28</v>
      </c>
      <c r="U9" s="4" t="s">
        <v>28</v>
      </c>
      <c r="V9" s="4" t="s">
        <v>28</v>
      </c>
      <c r="W9" s="4" t="s">
        <v>29</v>
      </c>
      <c r="X9" s="4" t="s">
        <v>25</v>
      </c>
    </row>
    <row r="10" spans="1:26" x14ac:dyDescent="0.3">
      <c r="A10" s="2">
        <v>9</v>
      </c>
      <c r="B10" s="3" t="s">
        <v>51</v>
      </c>
      <c r="C10" s="3" t="s">
        <v>52</v>
      </c>
      <c r="D10" s="3" t="s">
        <v>53</v>
      </c>
      <c r="E10" s="35">
        <v>45709</v>
      </c>
      <c r="F10" s="7" t="s">
        <v>25</v>
      </c>
      <c r="G10" s="36">
        <f t="shared" si="0"/>
        <v>45597</v>
      </c>
      <c r="H10" s="8">
        <v>45610</v>
      </c>
      <c r="I10" s="9">
        <v>300</v>
      </c>
      <c r="J10" s="9">
        <v>0.24929999999999999</v>
      </c>
      <c r="K10" s="24">
        <v>3.2000000000000001E-2</v>
      </c>
      <c r="L10" s="7" t="s">
        <v>26</v>
      </c>
      <c r="M10" s="7" t="s">
        <v>27</v>
      </c>
      <c r="N10" s="7" t="s">
        <v>27</v>
      </c>
      <c r="O10" s="7" t="s">
        <v>28</v>
      </c>
      <c r="P10" s="25" t="s">
        <v>28</v>
      </c>
      <c r="Q10" s="7" t="s">
        <v>28</v>
      </c>
      <c r="R10" s="7" t="s">
        <v>28</v>
      </c>
      <c r="S10" s="7" t="s">
        <v>28</v>
      </c>
      <c r="U10" s="7" t="s">
        <v>28</v>
      </c>
      <c r="V10" s="7" t="s">
        <v>28</v>
      </c>
      <c r="W10" s="7" t="s">
        <v>29</v>
      </c>
      <c r="X10" s="7" t="s">
        <v>25</v>
      </c>
    </row>
    <row r="11" spans="1:26" x14ac:dyDescent="0.3">
      <c r="A11" s="2">
        <v>10</v>
      </c>
      <c r="B11" s="3" t="s">
        <v>54</v>
      </c>
      <c r="C11" s="3" t="s">
        <v>55</v>
      </c>
      <c r="D11" s="3" t="s">
        <v>56</v>
      </c>
      <c r="E11" s="35">
        <v>45983</v>
      </c>
      <c r="F11" s="4" t="s">
        <v>25</v>
      </c>
      <c r="G11" s="36">
        <f t="shared" si="0"/>
        <v>45597</v>
      </c>
      <c r="H11" s="5">
        <v>45610</v>
      </c>
      <c r="I11" s="6">
        <v>150</v>
      </c>
      <c r="J11" s="6">
        <v>1</v>
      </c>
      <c r="K11" s="22">
        <v>2.5999999999999999E-2</v>
      </c>
      <c r="L11" s="4" t="s">
        <v>26</v>
      </c>
      <c r="M11" s="4" t="s">
        <v>27</v>
      </c>
      <c r="N11" s="4" t="s">
        <v>27</v>
      </c>
      <c r="O11" s="4" t="s">
        <v>28</v>
      </c>
      <c r="P11" s="23" t="s">
        <v>28</v>
      </c>
      <c r="Q11" s="4" t="s">
        <v>28</v>
      </c>
      <c r="R11" s="4" t="s">
        <v>28</v>
      </c>
      <c r="S11" s="4" t="s">
        <v>28</v>
      </c>
      <c r="U11" s="32">
        <v>2</v>
      </c>
      <c r="V11" s="4" t="s">
        <v>28</v>
      </c>
      <c r="W11" s="4" t="s">
        <v>29</v>
      </c>
      <c r="X11" s="4" t="s">
        <v>25</v>
      </c>
    </row>
    <row r="12" spans="1:26" x14ac:dyDescent="0.3">
      <c r="A12" s="2">
        <v>11</v>
      </c>
      <c r="B12" s="3" t="s">
        <v>57</v>
      </c>
      <c r="C12" s="3" t="s">
        <v>58</v>
      </c>
      <c r="D12" s="3" t="s">
        <v>59</v>
      </c>
      <c r="E12" s="35">
        <v>45744</v>
      </c>
      <c r="F12" s="7" t="s">
        <v>25</v>
      </c>
      <c r="G12" s="36">
        <f t="shared" si="0"/>
        <v>45536</v>
      </c>
      <c r="H12" s="8">
        <v>45554</v>
      </c>
      <c r="I12" s="9">
        <v>250</v>
      </c>
      <c r="J12" s="9">
        <v>0.49859999999999999</v>
      </c>
      <c r="K12" s="24">
        <v>1.55E-2</v>
      </c>
      <c r="L12" s="7" t="s">
        <v>26</v>
      </c>
      <c r="M12" s="7" t="s">
        <v>27</v>
      </c>
      <c r="N12" s="7" t="s">
        <v>27</v>
      </c>
      <c r="O12" s="7" t="s">
        <v>28</v>
      </c>
      <c r="P12" s="25" t="s">
        <v>28</v>
      </c>
      <c r="Q12" s="7" t="s">
        <v>28</v>
      </c>
      <c r="R12" s="7" t="s">
        <v>28</v>
      </c>
      <c r="S12" s="7" t="s">
        <v>28</v>
      </c>
      <c r="U12" s="7" t="s">
        <v>28</v>
      </c>
      <c r="V12" s="7" t="s">
        <v>28</v>
      </c>
      <c r="W12" s="7" t="s">
        <v>29</v>
      </c>
      <c r="X12" s="7" t="s">
        <v>25</v>
      </c>
    </row>
    <row r="13" spans="1:26" x14ac:dyDescent="0.3">
      <c r="A13" s="2">
        <v>12</v>
      </c>
      <c r="B13" s="3" t="s">
        <v>60</v>
      </c>
      <c r="C13" s="3" t="s">
        <v>61</v>
      </c>
      <c r="D13" s="3" t="s">
        <v>62</v>
      </c>
      <c r="E13" s="35">
        <v>45618</v>
      </c>
      <c r="F13" s="4" t="s">
        <v>25</v>
      </c>
      <c r="G13" s="36">
        <f t="shared" si="0"/>
        <v>45505</v>
      </c>
      <c r="H13" s="5">
        <v>45519</v>
      </c>
      <c r="I13" s="6">
        <v>300</v>
      </c>
      <c r="J13" s="6">
        <v>0.24929999999999999</v>
      </c>
      <c r="K13" s="22">
        <v>1.8800000000000001E-2</v>
      </c>
      <c r="L13" s="4" t="s">
        <v>26</v>
      </c>
      <c r="M13" s="4" t="s">
        <v>27</v>
      </c>
      <c r="N13" s="4" t="s">
        <v>27</v>
      </c>
      <c r="O13" s="4" t="s">
        <v>28</v>
      </c>
      <c r="P13" s="23" t="s">
        <v>28</v>
      </c>
      <c r="Q13" s="4" t="s">
        <v>28</v>
      </c>
      <c r="R13" s="4" t="s">
        <v>28</v>
      </c>
      <c r="S13" s="4" t="s">
        <v>28</v>
      </c>
      <c r="U13" s="4" t="s">
        <v>28</v>
      </c>
      <c r="V13" s="4" t="s">
        <v>28</v>
      </c>
      <c r="W13" s="4" t="s">
        <v>29</v>
      </c>
      <c r="X13" s="4" t="s">
        <v>25</v>
      </c>
    </row>
    <row r="14" spans="1:26" x14ac:dyDescent="0.3">
      <c r="A14" s="2">
        <v>13</v>
      </c>
      <c r="B14" s="3" t="s">
        <v>63</v>
      </c>
      <c r="C14" s="3" t="s">
        <v>64</v>
      </c>
      <c r="D14" s="3" t="s">
        <v>65</v>
      </c>
      <c r="E14" s="35">
        <v>45892</v>
      </c>
      <c r="F14" s="7" t="s">
        <v>25</v>
      </c>
      <c r="G14" s="36">
        <f t="shared" si="0"/>
        <v>45505</v>
      </c>
      <c r="H14" s="8">
        <v>45519</v>
      </c>
      <c r="I14" s="9">
        <v>150</v>
      </c>
      <c r="J14" s="9">
        <v>1</v>
      </c>
      <c r="K14" s="24">
        <v>1.9E-2</v>
      </c>
      <c r="L14" s="7" t="s">
        <v>26</v>
      </c>
      <c r="M14" s="7" t="s">
        <v>27</v>
      </c>
      <c r="N14" s="7" t="s">
        <v>27</v>
      </c>
      <c r="O14" s="7" t="s">
        <v>28</v>
      </c>
      <c r="P14" s="25" t="s">
        <v>28</v>
      </c>
      <c r="Q14" s="7" t="s">
        <v>28</v>
      </c>
      <c r="R14" s="7" t="s">
        <v>28</v>
      </c>
      <c r="S14" s="7" t="s">
        <v>28</v>
      </c>
      <c r="U14" s="31">
        <v>2</v>
      </c>
      <c r="V14" s="7" t="s">
        <v>28</v>
      </c>
      <c r="W14" s="7" t="s">
        <v>29</v>
      </c>
      <c r="X14" s="7" t="s">
        <v>25</v>
      </c>
    </row>
    <row r="15" spans="1:26" x14ac:dyDescent="0.3">
      <c r="A15" s="2">
        <v>14</v>
      </c>
      <c r="B15" s="3" t="s">
        <v>66</v>
      </c>
      <c r="C15" s="3" t="s">
        <v>67</v>
      </c>
      <c r="D15" s="3" t="s">
        <v>68</v>
      </c>
      <c r="E15" s="35">
        <v>45646</v>
      </c>
      <c r="F15" s="4" t="s">
        <v>25</v>
      </c>
      <c r="G15" s="36">
        <f t="shared" si="0"/>
        <v>45444</v>
      </c>
      <c r="H15" s="5">
        <v>45456</v>
      </c>
      <c r="I15" s="6">
        <v>200</v>
      </c>
      <c r="J15" s="6">
        <v>0.49859999999999999</v>
      </c>
      <c r="K15" s="22">
        <v>2.5899999999999999E-2</v>
      </c>
      <c r="L15" s="4" t="s">
        <v>26</v>
      </c>
      <c r="M15" s="4" t="s">
        <v>27</v>
      </c>
      <c r="N15" s="4" t="s">
        <v>27</v>
      </c>
      <c r="O15" s="4" t="s">
        <v>28</v>
      </c>
      <c r="P15" s="23" t="s">
        <v>28</v>
      </c>
      <c r="Q15" s="4" t="s">
        <v>28</v>
      </c>
      <c r="R15" s="4" t="s">
        <v>28</v>
      </c>
      <c r="S15" s="4" t="s">
        <v>28</v>
      </c>
      <c r="U15" s="4" t="s">
        <v>28</v>
      </c>
      <c r="V15" s="4" t="s">
        <v>28</v>
      </c>
      <c r="W15" s="4" t="s">
        <v>29</v>
      </c>
      <c r="X15" s="4" t="s">
        <v>25</v>
      </c>
    </row>
    <row r="16" spans="1:26" x14ac:dyDescent="0.3">
      <c r="A16" s="2">
        <v>15</v>
      </c>
      <c r="B16" s="3" t="s">
        <v>69</v>
      </c>
      <c r="C16" s="3" t="s">
        <v>70</v>
      </c>
      <c r="D16" s="3" t="s">
        <v>71</v>
      </c>
      <c r="E16" s="35">
        <v>45527</v>
      </c>
      <c r="F16" s="7" t="s">
        <v>25</v>
      </c>
      <c r="G16" s="36">
        <f t="shared" si="0"/>
        <v>45413</v>
      </c>
      <c r="H16" s="8">
        <v>45434</v>
      </c>
      <c r="I16" s="9">
        <v>300</v>
      </c>
      <c r="J16" s="9">
        <v>0.24929999999999999</v>
      </c>
      <c r="K16" s="24">
        <v>2.75E-2</v>
      </c>
      <c r="L16" s="7" t="s">
        <v>26</v>
      </c>
      <c r="M16" s="7" t="s">
        <v>27</v>
      </c>
      <c r="N16" s="7" t="s">
        <v>27</v>
      </c>
      <c r="O16" s="7" t="s">
        <v>28</v>
      </c>
      <c r="P16" s="25" t="s">
        <v>28</v>
      </c>
      <c r="Q16" s="7" t="s">
        <v>28</v>
      </c>
      <c r="R16" s="7" t="s">
        <v>28</v>
      </c>
      <c r="S16" s="7" t="s">
        <v>28</v>
      </c>
      <c r="U16" s="7" t="s">
        <v>28</v>
      </c>
      <c r="V16" s="7" t="s">
        <v>28</v>
      </c>
      <c r="W16" s="7" t="s">
        <v>29</v>
      </c>
      <c r="X16" s="7" t="s">
        <v>25</v>
      </c>
    </row>
    <row r="17" spans="1:24" x14ac:dyDescent="0.3">
      <c r="A17" s="10">
        <v>16</v>
      </c>
      <c r="B17" s="11" t="s">
        <v>72</v>
      </c>
      <c r="C17" s="11" t="s">
        <v>73</v>
      </c>
      <c r="D17" s="11" t="s">
        <v>74</v>
      </c>
      <c r="E17" s="35">
        <v>45801</v>
      </c>
      <c r="F17" s="12" t="s">
        <v>75</v>
      </c>
      <c r="G17" s="36">
        <f t="shared" si="0"/>
        <v>45413</v>
      </c>
      <c r="H17" s="13">
        <v>45434</v>
      </c>
      <c r="I17" s="14">
        <v>200</v>
      </c>
      <c r="J17" s="14">
        <v>1</v>
      </c>
      <c r="K17" s="26">
        <v>2.7E-2</v>
      </c>
      <c r="L17" s="12" t="s">
        <v>76</v>
      </c>
      <c r="M17" s="12" t="s">
        <v>27</v>
      </c>
      <c r="N17" s="12" t="s">
        <v>27</v>
      </c>
      <c r="O17" s="12" t="s">
        <v>28</v>
      </c>
      <c r="P17" s="27" t="s">
        <v>28</v>
      </c>
      <c r="Q17" s="12" t="s">
        <v>28</v>
      </c>
      <c r="R17" s="12" t="s">
        <v>28</v>
      </c>
      <c r="S17" s="12" t="s">
        <v>28</v>
      </c>
      <c r="U17" s="33">
        <v>2</v>
      </c>
      <c r="V17" s="12" t="s">
        <v>28</v>
      </c>
      <c r="W17" s="12" t="s">
        <v>77</v>
      </c>
      <c r="X17" s="12" t="s">
        <v>75</v>
      </c>
    </row>
    <row r="18" spans="1:24" x14ac:dyDescent="0.3">
      <c r="A18" s="15">
        <v>17</v>
      </c>
      <c r="B18" s="16" t="s">
        <v>78</v>
      </c>
      <c r="C18" s="16" t="s">
        <v>79</v>
      </c>
      <c r="D18" s="16" t="s">
        <v>80</v>
      </c>
      <c r="E18" s="35">
        <v>45554</v>
      </c>
      <c r="F18" s="17" t="s">
        <v>75</v>
      </c>
      <c r="G18" s="36">
        <f t="shared" si="0"/>
        <v>45352</v>
      </c>
      <c r="H18" s="18">
        <v>45370</v>
      </c>
      <c r="I18" s="19">
        <v>250</v>
      </c>
      <c r="J18" s="19">
        <v>0.49859999999999999</v>
      </c>
      <c r="K18" s="28">
        <v>2.7300000000000001E-2</v>
      </c>
      <c r="L18" s="17" t="s">
        <v>76</v>
      </c>
      <c r="M18" s="17" t="s">
        <v>27</v>
      </c>
      <c r="N18" s="17" t="s">
        <v>27</v>
      </c>
      <c r="O18" s="17" t="s">
        <v>28</v>
      </c>
      <c r="P18" s="29" t="s">
        <v>28</v>
      </c>
      <c r="Q18" s="17" t="s">
        <v>28</v>
      </c>
      <c r="R18" s="17" t="s">
        <v>28</v>
      </c>
      <c r="S18" s="17" t="s">
        <v>28</v>
      </c>
      <c r="U18" s="17" t="s">
        <v>28</v>
      </c>
      <c r="V18" s="17" t="s">
        <v>28</v>
      </c>
      <c r="W18" s="17" t="s">
        <v>77</v>
      </c>
      <c r="X18" s="17" t="s">
        <v>75</v>
      </c>
    </row>
    <row r="19" spans="1:24" x14ac:dyDescent="0.3">
      <c r="A19" s="15">
        <v>18</v>
      </c>
      <c r="B19" s="16" t="s">
        <v>81</v>
      </c>
      <c r="C19" s="16" t="s">
        <v>82</v>
      </c>
      <c r="D19" s="16" t="s">
        <v>83</v>
      </c>
      <c r="E19" s="35">
        <v>45435</v>
      </c>
      <c r="F19" s="17" t="s">
        <v>75</v>
      </c>
      <c r="G19" s="36">
        <f t="shared" si="0"/>
        <v>45323</v>
      </c>
      <c r="H19" s="18">
        <v>45342</v>
      </c>
      <c r="I19" s="19">
        <v>300</v>
      </c>
      <c r="J19" s="19">
        <v>0.24929999999999999</v>
      </c>
      <c r="K19" s="30">
        <v>0</v>
      </c>
      <c r="L19" s="17" t="s">
        <v>84</v>
      </c>
      <c r="M19" s="17" t="s">
        <v>27</v>
      </c>
      <c r="N19" s="17" t="s">
        <v>27</v>
      </c>
      <c r="O19" s="17" t="s">
        <v>28</v>
      </c>
      <c r="P19" s="29" t="s">
        <v>28</v>
      </c>
      <c r="Q19" s="17" t="s">
        <v>28</v>
      </c>
      <c r="R19" s="17" t="s">
        <v>28</v>
      </c>
      <c r="S19" s="17" t="s">
        <v>28</v>
      </c>
      <c r="U19" s="17" t="s">
        <v>28</v>
      </c>
      <c r="V19" s="17" t="s">
        <v>28</v>
      </c>
      <c r="W19" s="17" t="s">
        <v>77</v>
      </c>
      <c r="X19" s="17" t="s">
        <v>75</v>
      </c>
    </row>
    <row r="20" spans="1:24" x14ac:dyDescent="0.3">
      <c r="A20" s="15">
        <v>19</v>
      </c>
      <c r="B20" s="16" t="s">
        <v>85</v>
      </c>
      <c r="C20" s="16" t="s">
        <v>86</v>
      </c>
      <c r="D20" s="16" t="s">
        <v>87</v>
      </c>
      <c r="E20" s="35">
        <v>45712</v>
      </c>
      <c r="F20" s="17" t="s">
        <v>75</v>
      </c>
      <c r="G20" s="36">
        <f t="shared" si="0"/>
        <v>45323</v>
      </c>
      <c r="H20" s="18">
        <v>45342</v>
      </c>
      <c r="I20" s="19">
        <v>150</v>
      </c>
      <c r="J20" s="19">
        <v>1.0082</v>
      </c>
      <c r="K20" s="28">
        <v>2.7900000000000001E-2</v>
      </c>
      <c r="L20" s="17" t="s">
        <v>76</v>
      </c>
      <c r="M20" s="17" t="s">
        <v>27</v>
      </c>
      <c r="N20" s="17" t="s">
        <v>27</v>
      </c>
      <c r="O20" s="17" t="s">
        <v>28</v>
      </c>
      <c r="P20" s="29" t="s">
        <v>28</v>
      </c>
      <c r="Q20" s="17" t="s">
        <v>28</v>
      </c>
      <c r="R20" s="17" t="s">
        <v>28</v>
      </c>
      <c r="S20" s="17" t="s">
        <v>28</v>
      </c>
      <c r="U20" s="17" t="s">
        <v>28</v>
      </c>
      <c r="V20" s="17" t="s">
        <v>28</v>
      </c>
      <c r="W20" s="17" t="s">
        <v>77</v>
      </c>
      <c r="X20" s="17" t="s">
        <v>75</v>
      </c>
    </row>
    <row r="21" spans="1:24" x14ac:dyDescent="0.3">
      <c r="A21" s="15">
        <v>20</v>
      </c>
      <c r="B21" s="16" t="s">
        <v>88</v>
      </c>
      <c r="C21" s="16" t="s">
        <v>89</v>
      </c>
      <c r="D21" s="16" t="s">
        <v>90</v>
      </c>
      <c r="E21" s="35">
        <v>45464</v>
      </c>
      <c r="F21" s="17" t="s">
        <v>75</v>
      </c>
      <c r="G21" s="36">
        <f t="shared" si="0"/>
        <v>45261</v>
      </c>
      <c r="H21" s="18">
        <v>45280</v>
      </c>
      <c r="I21" s="19">
        <v>50</v>
      </c>
      <c r="J21" s="19">
        <v>0.49730000000000002</v>
      </c>
      <c r="K21" s="28">
        <v>2.8000000000000001E-2</v>
      </c>
      <c r="L21" s="17" t="s">
        <v>76</v>
      </c>
      <c r="M21" s="17" t="s">
        <v>27</v>
      </c>
      <c r="N21" s="17" t="s">
        <v>27</v>
      </c>
      <c r="O21" s="17" t="s">
        <v>28</v>
      </c>
      <c r="P21" s="29" t="s">
        <v>28</v>
      </c>
      <c r="Q21" s="17" t="s">
        <v>28</v>
      </c>
      <c r="R21" s="17" t="s">
        <v>28</v>
      </c>
      <c r="S21" s="17" t="s">
        <v>28</v>
      </c>
      <c r="U21" s="34">
        <v>2</v>
      </c>
      <c r="V21" s="17" t="s">
        <v>28</v>
      </c>
      <c r="W21" s="17" t="s">
        <v>77</v>
      </c>
      <c r="X21" s="17" t="s">
        <v>75</v>
      </c>
    </row>
    <row r="22" spans="1:24" x14ac:dyDescent="0.3">
      <c r="A22" s="15">
        <v>21</v>
      </c>
      <c r="B22" s="16" t="s">
        <v>91</v>
      </c>
      <c r="C22" s="16" t="s">
        <v>92</v>
      </c>
      <c r="D22" s="16" t="s">
        <v>93</v>
      </c>
      <c r="E22" s="35">
        <v>45344</v>
      </c>
      <c r="F22" s="17" t="s">
        <v>75</v>
      </c>
      <c r="G22" s="36">
        <f t="shared" si="0"/>
        <v>45231</v>
      </c>
      <c r="H22" s="18">
        <v>45251</v>
      </c>
      <c r="I22" s="19">
        <v>300</v>
      </c>
      <c r="J22" s="19">
        <v>0.24929999999999999</v>
      </c>
      <c r="K22" s="28">
        <v>3.1800000000000002E-2</v>
      </c>
      <c r="L22" s="17" t="s">
        <v>76</v>
      </c>
      <c r="M22" s="17" t="s">
        <v>27</v>
      </c>
      <c r="N22" s="17" t="s">
        <v>27</v>
      </c>
      <c r="O22" s="17" t="s">
        <v>28</v>
      </c>
      <c r="P22" s="29" t="s">
        <v>28</v>
      </c>
      <c r="Q22" s="17" t="s">
        <v>28</v>
      </c>
      <c r="R22" s="17" t="s">
        <v>28</v>
      </c>
      <c r="S22" s="17" t="s">
        <v>28</v>
      </c>
      <c r="U22" s="34">
        <v>4</v>
      </c>
      <c r="V22" s="17" t="s">
        <v>28</v>
      </c>
      <c r="W22" s="17" t="s">
        <v>77</v>
      </c>
      <c r="X22" s="17" t="s">
        <v>75</v>
      </c>
    </row>
    <row r="23" spans="1:24" x14ac:dyDescent="0.3">
      <c r="A23" s="15">
        <v>22</v>
      </c>
      <c r="B23" s="16" t="s">
        <v>94</v>
      </c>
      <c r="C23" s="16" t="s">
        <v>95</v>
      </c>
      <c r="D23" s="16" t="s">
        <v>96</v>
      </c>
      <c r="E23" s="35">
        <v>45619</v>
      </c>
      <c r="F23" s="17" t="s">
        <v>75</v>
      </c>
      <c r="G23" s="36">
        <f t="shared" si="0"/>
        <v>45231</v>
      </c>
      <c r="H23" s="18">
        <v>45251</v>
      </c>
      <c r="I23" s="19">
        <v>150</v>
      </c>
      <c r="J23" s="19">
        <v>1</v>
      </c>
      <c r="K23" s="28">
        <v>2.98E-2</v>
      </c>
      <c r="L23" s="17" t="s">
        <v>76</v>
      </c>
      <c r="M23" s="17" t="s">
        <v>27</v>
      </c>
      <c r="N23" s="17" t="s">
        <v>27</v>
      </c>
      <c r="O23" s="17" t="s">
        <v>28</v>
      </c>
      <c r="P23" s="29" t="s">
        <v>28</v>
      </c>
      <c r="Q23" s="17" t="s">
        <v>28</v>
      </c>
      <c r="R23" s="17" t="s">
        <v>28</v>
      </c>
      <c r="S23" s="17" t="s">
        <v>28</v>
      </c>
      <c r="U23" s="34">
        <v>2</v>
      </c>
      <c r="V23" s="17" t="s">
        <v>28</v>
      </c>
      <c r="W23" s="17" t="s">
        <v>77</v>
      </c>
      <c r="X23" s="17" t="s">
        <v>75</v>
      </c>
    </row>
    <row r="24" spans="1:24" x14ac:dyDescent="0.3">
      <c r="A24" s="15">
        <v>23</v>
      </c>
      <c r="B24" s="16" t="s">
        <v>97</v>
      </c>
      <c r="C24" s="16" t="s">
        <v>98</v>
      </c>
      <c r="D24" s="16" t="s">
        <v>99</v>
      </c>
      <c r="E24" s="35">
        <v>45372</v>
      </c>
      <c r="F24" s="17" t="s">
        <v>75</v>
      </c>
      <c r="G24" s="36">
        <f t="shared" si="0"/>
        <v>45170</v>
      </c>
      <c r="H24" s="18">
        <v>45188</v>
      </c>
      <c r="I24" s="19">
        <v>150</v>
      </c>
      <c r="J24" s="19">
        <v>0.49859999999999999</v>
      </c>
      <c r="K24" s="28">
        <v>3.3799999999999997E-2</v>
      </c>
      <c r="L24" s="17" t="s">
        <v>76</v>
      </c>
      <c r="M24" s="17" t="s">
        <v>27</v>
      </c>
      <c r="N24" s="17" t="s">
        <v>27</v>
      </c>
      <c r="O24" s="17" t="s">
        <v>28</v>
      </c>
      <c r="P24" s="29" t="s">
        <v>28</v>
      </c>
      <c r="Q24" s="17" t="s">
        <v>28</v>
      </c>
      <c r="R24" s="17" t="s">
        <v>28</v>
      </c>
      <c r="S24" s="17" t="s">
        <v>28</v>
      </c>
      <c r="U24" s="17" t="s">
        <v>28</v>
      </c>
      <c r="V24" s="17" t="s">
        <v>28</v>
      </c>
      <c r="W24" s="17" t="s">
        <v>77</v>
      </c>
      <c r="X24" s="17" t="s">
        <v>75</v>
      </c>
    </row>
    <row r="25" spans="1:24" x14ac:dyDescent="0.3">
      <c r="A25" s="15">
        <v>24</v>
      </c>
      <c r="B25" s="16" t="s">
        <v>100</v>
      </c>
      <c r="C25" s="16" t="s">
        <v>101</v>
      </c>
      <c r="D25" s="16" t="s">
        <v>102</v>
      </c>
      <c r="E25" s="35">
        <v>45528</v>
      </c>
      <c r="F25" s="17" t="s">
        <v>75</v>
      </c>
      <c r="G25" s="36">
        <f t="shared" si="0"/>
        <v>45139</v>
      </c>
      <c r="H25" s="18">
        <v>45160</v>
      </c>
      <c r="I25" s="19">
        <v>150</v>
      </c>
      <c r="J25" s="19">
        <v>1</v>
      </c>
      <c r="K25" s="28">
        <v>2.7E-2</v>
      </c>
      <c r="L25" s="17" t="s">
        <v>76</v>
      </c>
      <c r="M25" s="17" t="s">
        <v>27</v>
      </c>
      <c r="N25" s="17" t="s">
        <v>27</v>
      </c>
      <c r="O25" s="17" t="s">
        <v>28</v>
      </c>
      <c r="P25" s="29" t="s">
        <v>28</v>
      </c>
      <c r="Q25" s="17" t="s">
        <v>28</v>
      </c>
      <c r="R25" s="17" t="s">
        <v>28</v>
      </c>
      <c r="S25" s="17" t="s">
        <v>28</v>
      </c>
      <c r="U25" s="34">
        <v>2</v>
      </c>
      <c r="V25" s="17" t="s">
        <v>28</v>
      </c>
      <c r="W25" s="17" t="s">
        <v>77</v>
      </c>
      <c r="X25" s="17" t="s">
        <v>75</v>
      </c>
    </row>
    <row r="26" spans="1:24" x14ac:dyDescent="0.3">
      <c r="A26" s="15">
        <v>25</v>
      </c>
      <c r="B26" s="16" t="s">
        <v>103</v>
      </c>
      <c r="C26" s="16" t="s">
        <v>104</v>
      </c>
      <c r="D26" s="16" t="s">
        <v>105</v>
      </c>
      <c r="E26" s="35">
        <v>45253</v>
      </c>
      <c r="F26" s="17" t="s">
        <v>75</v>
      </c>
      <c r="G26" s="36">
        <f t="shared" si="0"/>
        <v>45139</v>
      </c>
      <c r="H26" s="18">
        <v>45153</v>
      </c>
      <c r="I26" s="19">
        <v>200</v>
      </c>
      <c r="J26" s="19">
        <v>0.24929999999999999</v>
      </c>
      <c r="K26" s="28">
        <v>3.2000000000000001E-2</v>
      </c>
      <c r="L26" s="17" t="s">
        <v>76</v>
      </c>
      <c r="M26" s="17" t="s">
        <v>27</v>
      </c>
      <c r="N26" s="17" t="s">
        <v>27</v>
      </c>
      <c r="O26" s="17" t="s">
        <v>28</v>
      </c>
      <c r="P26" s="29" t="s">
        <v>28</v>
      </c>
      <c r="Q26" s="17" t="s">
        <v>28</v>
      </c>
      <c r="R26" s="17" t="s">
        <v>28</v>
      </c>
      <c r="S26" s="17" t="s">
        <v>28</v>
      </c>
      <c r="U26" s="17" t="s">
        <v>28</v>
      </c>
      <c r="V26" s="17" t="s">
        <v>28</v>
      </c>
      <c r="W26" s="17" t="s">
        <v>77</v>
      </c>
      <c r="X26" s="17" t="s">
        <v>75</v>
      </c>
    </row>
    <row r="27" spans="1:24" x14ac:dyDescent="0.3">
      <c r="A27" s="15">
        <v>26</v>
      </c>
      <c r="B27" s="16" t="s">
        <v>106</v>
      </c>
      <c r="C27" s="16" t="s">
        <v>107</v>
      </c>
      <c r="D27" s="16" t="s">
        <v>108</v>
      </c>
      <c r="E27" s="35">
        <v>45287</v>
      </c>
      <c r="F27" s="17" t="s">
        <v>75</v>
      </c>
      <c r="G27" s="36">
        <f t="shared" si="0"/>
        <v>45078</v>
      </c>
      <c r="H27" s="18">
        <v>45096</v>
      </c>
      <c r="I27" s="19">
        <v>50</v>
      </c>
      <c r="J27" s="19">
        <v>0.49859999999999999</v>
      </c>
      <c r="K27" s="28">
        <v>2.24E-2</v>
      </c>
      <c r="L27" s="17" t="s">
        <v>76</v>
      </c>
      <c r="M27" s="17" t="s">
        <v>27</v>
      </c>
      <c r="N27" s="17" t="s">
        <v>27</v>
      </c>
      <c r="O27" s="17" t="s">
        <v>28</v>
      </c>
      <c r="P27" s="29" t="s">
        <v>28</v>
      </c>
      <c r="Q27" s="17" t="s">
        <v>28</v>
      </c>
      <c r="R27" s="17" t="s">
        <v>28</v>
      </c>
      <c r="S27" s="17" t="s">
        <v>28</v>
      </c>
      <c r="U27" s="17" t="s">
        <v>28</v>
      </c>
      <c r="V27" s="17" t="s">
        <v>28</v>
      </c>
      <c r="W27" s="17" t="s">
        <v>77</v>
      </c>
      <c r="X27" s="17" t="s">
        <v>75</v>
      </c>
    </row>
    <row r="28" spans="1:24" x14ac:dyDescent="0.3">
      <c r="A28" s="15">
        <v>27</v>
      </c>
      <c r="B28" s="16" t="s">
        <v>109</v>
      </c>
      <c r="C28" s="16" t="s">
        <v>110</v>
      </c>
      <c r="D28" s="16" t="s">
        <v>111</v>
      </c>
      <c r="E28" s="35">
        <v>45437</v>
      </c>
      <c r="F28" s="17" t="s">
        <v>75</v>
      </c>
      <c r="G28" s="36">
        <f t="shared" si="0"/>
        <v>45047</v>
      </c>
      <c r="H28" s="18">
        <v>45069</v>
      </c>
      <c r="I28" s="19">
        <v>150</v>
      </c>
      <c r="J28" s="19">
        <v>1.0026999999999999</v>
      </c>
      <c r="K28" s="28">
        <v>2.4500000000000001E-2</v>
      </c>
      <c r="L28" s="17" t="s">
        <v>76</v>
      </c>
      <c r="M28" s="17" t="s">
        <v>27</v>
      </c>
      <c r="N28" s="17" t="s">
        <v>27</v>
      </c>
      <c r="O28" s="17" t="s">
        <v>28</v>
      </c>
      <c r="P28" s="29" t="s">
        <v>28</v>
      </c>
      <c r="Q28" s="17" t="s">
        <v>28</v>
      </c>
      <c r="R28" s="17" t="s">
        <v>28</v>
      </c>
      <c r="S28" s="17" t="s">
        <v>28</v>
      </c>
      <c r="U28" s="34">
        <v>2</v>
      </c>
      <c r="V28" s="17" t="s">
        <v>28</v>
      </c>
      <c r="W28" s="17" t="s">
        <v>77</v>
      </c>
      <c r="X28" s="17" t="s">
        <v>75</v>
      </c>
    </row>
    <row r="29" spans="1:24" x14ac:dyDescent="0.3">
      <c r="A29" s="15">
        <v>28</v>
      </c>
      <c r="B29" s="16" t="s">
        <v>112</v>
      </c>
      <c r="C29" s="16" t="s">
        <v>113</v>
      </c>
      <c r="D29" s="16" t="s">
        <v>114</v>
      </c>
      <c r="E29" s="35">
        <v>45162</v>
      </c>
      <c r="F29" s="17" t="s">
        <v>75</v>
      </c>
      <c r="G29" s="36">
        <f t="shared" si="0"/>
        <v>45047</v>
      </c>
      <c r="H29" s="18">
        <v>45063</v>
      </c>
      <c r="I29" s="19">
        <v>100</v>
      </c>
      <c r="J29" s="19">
        <v>0.24929999999999999</v>
      </c>
      <c r="K29" s="28">
        <v>2.0799999999999999E-2</v>
      </c>
      <c r="L29" s="17" t="s">
        <v>76</v>
      </c>
      <c r="M29" s="17" t="s">
        <v>27</v>
      </c>
      <c r="N29" s="17" t="s">
        <v>27</v>
      </c>
      <c r="O29" s="17" t="s">
        <v>28</v>
      </c>
      <c r="P29" s="29" t="s">
        <v>28</v>
      </c>
      <c r="Q29" s="17" t="s">
        <v>28</v>
      </c>
      <c r="R29" s="17" t="s">
        <v>28</v>
      </c>
      <c r="S29" s="17" t="s">
        <v>28</v>
      </c>
      <c r="U29" s="34">
        <v>4</v>
      </c>
      <c r="V29" s="17" t="s">
        <v>28</v>
      </c>
      <c r="W29" s="17" t="s">
        <v>77</v>
      </c>
      <c r="X29" s="17" t="s">
        <v>75</v>
      </c>
    </row>
    <row r="30" spans="1:24" x14ac:dyDescent="0.3">
      <c r="A30" s="15">
        <v>29</v>
      </c>
      <c r="B30" s="16" t="s">
        <v>115</v>
      </c>
      <c r="C30" s="16" t="s">
        <v>116</v>
      </c>
      <c r="D30" s="16" t="s">
        <v>117</v>
      </c>
      <c r="E30" s="35">
        <v>45190</v>
      </c>
      <c r="F30" s="17" t="s">
        <v>75</v>
      </c>
      <c r="G30" s="36">
        <f t="shared" si="0"/>
        <v>44986</v>
      </c>
      <c r="H30" s="18">
        <v>45000</v>
      </c>
      <c r="I30" s="19">
        <v>50</v>
      </c>
      <c r="J30" s="19">
        <v>0.49859999999999999</v>
      </c>
      <c r="K30" s="28">
        <v>2.1999999999999999E-2</v>
      </c>
      <c r="L30" s="17" t="s">
        <v>76</v>
      </c>
      <c r="M30" s="17" t="s">
        <v>27</v>
      </c>
      <c r="N30" s="17" t="s">
        <v>27</v>
      </c>
      <c r="O30" s="17" t="s">
        <v>28</v>
      </c>
      <c r="P30" s="29" t="s">
        <v>28</v>
      </c>
      <c r="Q30" s="17" t="s">
        <v>28</v>
      </c>
      <c r="R30" s="17" t="s">
        <v>28</v>
      </c>
      <c r="S30" s="17" t="s">
        <v>28</v>
      </c>
      <c r="U30" s="17" t="s">
        <v>28</v>
      </c>
      <c r="V30" s="17" t="s">
        <v>28</v>
      </c>
      <c r="W30" s="17" t="s">
        <v>77</v>
      </c>
      <c r="X30" s="17" t="s">
        <v>75</v>
      </c>
    </row>
    <row r="31" spans="1:24" x14ac:dyDescent="0.3">
      <c r="A31" s="20">
        <v>30</v>
      </c>
      <c r="B31" s="21" t="s">
        <v>118</v>
      </c>
      <c r="C31" s="21" t="s">
        <v>119</v>
      </c>
      <c r="D31" s="21" t="s">
        <v>120</v>
      </c>
      <c r="E31" s="35">
        <v>45345</v>
      </c>
      <c r="F31" s="17" t="s">
        <v>75</v>
      </c>
      <c r="G31" s="36">
        <f t="shared" si="0"/>
        <v>44958</v>
      </c>
      <c r="H31" s="18">
        <v>44978</v>
      </c>
      <c r="I31" s="19">
        <v>150</v>
      </c>
      <c r="J31" s="19">
        <v>1</v>
      </c>
      <c r="K31" s="28">
        <v>2.75E-2</v>
      </c>
      <c r="L31" s="17" t="s">
        <v>76</v>
      </c>
      <c r="M31" s="17" t="s">
        <v>27</v>
      </c>
      <c r="N31" s="17" t="s">
        <v>27</v>
      </c>
      <c r="O31" s="17" t="s">
        <v>28</v>
      </c>
      <c r="P31" s="29" t="s">
        <v>28</v>
      </c>
      <c r="Q31" s="17" t="s">
        <v>28</v>
      </c>
      <c r="R31" s="17" t="s">
        <v>28</v>
      </c>
      <c r="S31" s="17" t="s">
        <v>28</v>
      </c>
      <c r="U31" s="34">
        <v>2</v>
      </c>
      <c r="V31" s="17" t="s">
        <v>28</v>
      </c>
      <c r="W31" s="17" t="s">
        <v>77</v>
      </c>
      <c r="X31" s="17" t="s">
        <v>75</v>
      </c>
    </row>
    <row r="32" spans="1:24" x14ac:dyDescent="0.3">
      <c r="A32" s="15">
        <v>31</v>
      </c>
      <c r="B32" s="16" t="s">
        <v>121</v>
      </c>
      <c r="C32" s="16" t="s">
        <v>122</v>
      </c>
      <c r="D32" s="16" t="s">
        <v>123</v>
      </c>
      <c r="E32" s="35">
        <v>45071</v>
      </c>
      <c r="F32" s="12" t="s">
        <v>75</v>
      </c>
      <c r="G32" s="36">
        <f t="shared" si="0"/>
        <v>44958</v>
      </c>
      <c r="H32" s="13">
        <v>44972</v>
      </c>
      <c r="I32" s="14">
        <v>100</v>
      </c>
      <c r="J32" s="14">
        <v>0.24929999999999999</v>
      </c>
      <c r="K32" s="26">
        <v>2.4E-2</v>
      </c>
      <c r="L32" s="12" t="s">
        <v>76</v>
      </c>
      <c r="M32" s="12" t="s">
        <v>27</v>
      </c>
      <c r="N32" s="12" t="s">
        <v>27</v>
      </c>
      <c r="O32" s="12" t="s">
        <v>28</v>
      </c>
      <c r="P32" s="27" t="s">
        <v>28</v>
      </c>
      <c r="Q32" s="12" t="s">
        <v>28</v>
      </c>
      <c r="R32" s="12" t="s">
        <v>28</v>
      </c>
      <c r="S32" s="12" t="s">
        <v>28</v>
      </c>
      <c r="U32" s="12" t="s">
        <v>28</v>
      </c>
      <c r="V32" s="12" t="s">
        <v>28</v>
      </c>
      <c r="W32" s="12" t="s">
        <v>77</v>
      </c>
      <c r="X32" s="12" t="s">
        <v>75</v>
      </c>
    </row>
    <row r="33" spans="1:24" x14ac:dyDescent="0.3">
      <c r="A33" s="15">
        <v>32</v>
      </c>
      <c r="B33" s="16" t="s">
        <v>124</v>
      </c>
      <c r="C33" s="16" t="s">
        <v>125</v>
      </c>
      <c r="D33" s="16" t="s">
        <v>126</v>
      </c>
      <c r="E33" s="35">
        <v>45099</v>
      </c>
      <c r="F33" s="17" t="s">
        <v>75</v>
      </c>
      <c r="G33" s="36">
        <f t="shared" si="0"/>
        <v>44896</v>
      </c>
      <c r="H33" s="18">
        <v>44909</v>
      </c>
      <c r="I33" s="19">
        <v>50</v>
      </c>
      <c r="J33" s="19">
        <v>0.49859999999999999</v>
      </c>
      <c r="K33" s="28">
        <v>2.1999999999999999E-2</v>
      </c>
      <c r="L33" s="17" t="s">
        <v>84</v>
      </c>
      <c r="M33" s="17" t="s">
        <v>27</v>
      </c>
      <c r="N33" s="17" t="s">
        <v>27</v>
      </c>
      <c r="O33" s="17" t="s">
        <v>28</v>
      </c>
      <c r="P33" s="29" t="s">
        <v>28</v>
      </c>
      <c r="Q33" s="17" t="s">
        <v>28</v>
      </c>
      <c r="R33" s="17" t="s">
        <v>28</v>
      </c>
      <c r="S33" s="17" t="s">
        <v>28</v>
      </c>
      <c r="U33" s="17" t="s">
        <v>28</v>
      </c>
      <c r="V33" s="17" t="s">
        <v>28</v>
      </c>
      <c r="W33" s="17" t="s">
        <v>77</v>
      </c>
      <c r="X33" s="17" t="s">
        <v>75</v>
      </c>
    </row>
    <row r="34" spans="1:24" x14ac:dyDescent="0.3">
      <c r="A34" s="15">
        <v>33</v>
      </c>
      <c r="B34" s="16" t="s">
        <v>127</v>
      </c>
      <c r="C34" s="16" t="s">
        <v>128</v>
      </c>
      <c r="D34" s="16" t="s">
        <v>129</v>
      </c>
      <c r="E34" s="35">
        <v>44979</v>
      </c>
      <c r="F34" s="17" t="s">
        <v>75</v>
      </c>
      <c r="G34" s="36">
        <f t="shared" si="0"/>
        <v>44866</v>
      </c>
      <c r="H34" s="18">
        <v>44880</v>
      </c>
      <c r="I34" s="19">
        <v>100</v>
      </c>
      <c r="J34" s="19">
        <v>0.24929999999999999</v>
      </c>
      <c r="K34" s="28">
        <v>2.0899999999999998E-2</v>
      </c>
      <c r="L34" s="17" t="s">
        <v>84</v>
      </c>
      <c r="M34" s="17" t="s">
        <v>27</v>
      </c>
      <c r="N34" s="17" t="s">
        <v>27</v>
      </c>
      <c r="O34" s="17" t="s">
        <v>28</v>
      </c>
      <c r="P34" s="29" t="s">
        <v>28</v>
      </c>
      <c r="Q34" s="17" t="s">
        <v>28</v>
      </c>
      <c r="R34" s="17" t="s">
        <v>28</v>
      </c>
      <c r="S34" s="17" t="s">
        <v>28</v>
      </c>
      <c r="U34" s="17" t="s">
        <v>28</v>
      </c>
      <c r="V34" s="17" t="s">
        <v>28</v>
      </c>
      <c r="W34" s="17" t="s">
        <v>77</v>
      </c>
      <c r="X34" s="17" t="s">
        <v>75</v>
      </c>
    </row>
    <row r="35" spans="1:24" x14ac:dyDescent="0.3">
      <c r="A35" s="15">
        <v>34</v>
      </c>
      <c r="B35" s="16" t="s">
        <v>130</v>
      </c>
      <c r="C35" s="16" t="s">
        <v>131</v>
      </c>
      <c r="D35" s="16" t="s">
        <v>132</v>
      </c>
      <c r="E35" s="35">
        <v>45253</v>
      </c>
      <c r="F35" s="17" t="s">
        <v>75</v>
      </c>
      <c r="G35" s="36">
        <f t="shared" si="0"/>
        <v>44866</v>
      </c>
      <c r="H35" s="18">
        <v>44880</v>
      </c>
      <c r="I35" s="19">
        <v>150</v>
      </c>
      <c r="J35" s="19">
        <v>1</v>
      </c>
      <c r="K35" s="28">
        <v>2.5000000000000001E-2</v>
      </c>
      <c r="L35" s="17" t="s">
        <v>76</v>
      </c>
      <c r="M35" s="17" t="s">
        <v>27</v>
      </c>
      <c r="N35" s="17" t="s">
        <v>27</v>
      </c>
      <c r="O35" s="17" t="s">
        <v>28</v>
      </c>
      <c r="P35" s="29" t="s">
        <v>28</v>
      </c>
      <c r="Q35" s="17" t="s">
        <v>28</v>
      </c>
      <c r="R35" s="17" t="s">
        <v>28</v>
      </c>
      <c r="S35" s="17" t="s">
        <v>28</v>
      </c>
      <c r="U35" s="34">
        <v>2</v>
      </c>
      <c r="V35" s="17" t="s">
        <v>28</v>
      </c>
      <c r="W35" s="17" t="s">
        <v>77</v>
      </c>
      <c r="X35" s="17" t="s">
        <v>75</v>
      </c>
    </row>
    <row r="36" spans="1:24" x14ac:dyDescent="0.3">
      <c r="A36" s="15">
        <v>35</v>
      </c>
      <c r="B36" s="16" t="s">
        <v>133</v>
      </c>
      <c r="C36" s="16" t="s">
        <v>134</v>
      </c>
      <c r="D36" s="16" t="s">
        <v>135</v>
      </c>
      <c r="E36" s="35">
        <v>45008</v>
      </c>
      <c r="F36" s="17" t="s">
        <v>75</v>
      </c>
      <c r="G36" s="36">
        <f t="shared" si="0"/>
        <v>44805</v>
      </c>
      <c r="H36" s="18">
        <v>44818</v>
      </c>
      <c r="I36" s="19">
        <v>50</v>
      </c>
      <c r="J36" s="19">
        <v>0.49859999999999999</v>
      </c>
      <c r="K36" s="28">
        <v>2.1999999999999999E-2</v>
      </c>
      <c r="L36" s="17" t="s">
        <v>76</v>
      </c>
      <c r="M36" s="17" t="s">
        <v>27</v>
      </c>
      <c r="N36" s="17" t="s">
        <v>27</v>
      </c>
      <c r="O36" s="17" t="s">
        <v>28</v>
      </c>
      <c r="P36" s="29" t="s">
        <v>28</v>
      </c>
      <c r="Q36" s="17" t="s">
        <v>28</v>
      </c>
      <c r="R36" s="17" t="s">
        <v>28</v>
      </c>
      <c r="S36" s="17" t="s">
        <v>28</v>
      </c>
      <c r="U36" s="17" t="s">
        <v>28</v>
      </c>
      <c r="V36" s="17" t="s">
        <v>28</v>
      </c>
      <c r="W36" s="17" t="s">
        <v>77</v>
      </c>
      <c r="X36" s="17" t="s">
        <v>75</v>
      </c>
    </row>
    <row r="37" spans="1:24" x14ac:dyDescent="0.3">
      <c r="A37" s="15">
        <v>36</v>
      </c>
      <c r="B37" s="16" t="s">
        <v>136</v>
      </c>
      <c r="C37" s="16" t="s">
        <v>137</v>
      </c>
      <c r="D37" s="16" t="s">
        <v>138</v>
      </c>
      <c r="E37" s="35">
        <v>44888</v>
      </c>
      <c r="F37" s="17" t="s">
        <v>75</v>
      </c>
      <c r="G37" s="36">
        <f t="shared" si="0"/>
        <v>44774</v>
      </c>
      <c r="H37" s="18">
        <v>44789</v>
      </c>
      <c r="I37" s="19">
        <v>100</v>
      </c>
      <c r="J37" s="19">
        <v>0.24929999999999999</v>
      </c>
      <c r="K37" s="28">
        <v>1.9E-2</v>
      </c>
      <c r="L37" s="17" t="s">
        <v>84</v>
      </c>
      <c r="M37" s="17" t="s">
        <v>27</v>
      </c>
      <c r="N37" s="17" t="s">
        <v>27</v>
      </c>
      <c r="O37" s="17" t="s">
        <v>28</v>
      </c>
      <c r="P37" s="29" t="s">
        <v>28</v>
      </c>
      <c r="Q37" s="17" t="s">
        <v>28</v>
      </c>
      <c r="R37" s="17" t="s">
        <v>28</v>
      </c>
      <c r="S37" s="17" t="s">
        <v>28</v>
      </c>
      <c r="U37" s="17" t="s">
        <v>28</v>
      </c>
      <c r="V37" s="17" t="s">
        <v>28</v>
      </c>
      <c r="W37" s="17" t="s">
        <v>77</v>
      </c>
      <c r="X37" s="17" t="s">
        <v>75</v>
      </c>
    </row>
    <row r="38" spans="1:24" x14ac:dyDescent="0.3">
      <c r="A38" s="15">
        <v>37</v>
      </c>
      <c r="B38" s="16" t="s">
        <v>139</v>
      </c>
      <c r="C38" s="16" t="s">
        <v>140</v>
      </c>
      <c r="D38" s="16" t="s">
        <v>141</v>
      </c>
      <c r="E38" s="35">
        <v>45162</v>
      </c>
      <c r="F38" s="17" t="s">
        <v>75</v>
      </c>
      <c r="G38" s="36">
        <f t="shared" si="0"/>
        <v>44774</v>
      </c>
      <c r="H38" s="18">
        <v>44789</v>
      </c>
      <c r="I38" s="19">
        <v>150</v>
      </c>
      <c r="J38" s="19">
        <v>1</v>
      </c>
      <c r="K38" s="28">
        <v>2.3E-2</v>
      </c>
      <c r="L38" s="17" t="s">
        <v>76</v>
      </c>
      <c r="M38" s="17" t="s">
        <v>27</v>
      </c>
      <c r="N38" s="17" t="s">
        <v>27</v>
      </c>
      <c r="O38" s="17" t="s">
        <v>28</v>
      </c>
      <c r="P38" s="29" t="s">
        <v>28</v>
      </c>
      <c r="Q38" s="17" t="s">
        <v>28</v>
      </c>
      <c r="R38" s="17" t="s">
        <v>28</v>
      </c>
      <c r="S38" s="17" t="s">
        <v>28</v>
      </c>
      <c r="U38" s="34">
        <v>2</v>
      </c>
      <c r="V38" s="17" t="s">
        <v>28</v>
      </c>
      <c r="W38" s="17" t="s">
        <v>77</v>
      </c>
      <c r="X38" s="17" t="s">
        <v>75</v>
      </c>
    </row>
    <row r="39" spans="1:24" x14ac:dyDescent="0.3">
      <c r="A39" s="15">
        <v>38</v>
      </c>
      <c r="B39" s="16" t="s">
        <v>142</v>
      </c>
      <c r="C39" s="16" t="s">
        <v>143</v>
      </c>
      <c r="D39" s="16" t="s">
        <v>144</v>
      </c>
      <c r="E39" s="35">
        <v>44917</v>
      </c>
      <c r="F39" s="17" t="s">
        <v>75</v>
      </c>
      <c r="G39" s="36">
        <f t="shared" si="0"/>
        <v>44713</v>
      </c>
      <c r="H39" s="18">
        <v>44727</v>
      </c>
      <c r="I39" s="19">
        <v>50</v>
      </c>
      <c r="J39" s="19">
        <v>0.49859999999999999</v>
      </c>
      <c r="K39" s="28">
        <v>2.3E-2</v>
      </c>
      <c r="L39" s="17" t="s">
        <v>84</v>
      </c>
      <c r="M39" s="17" t="s">
        <v>27</v>
      </c>
      <c r="N39" s="17" t="s">
        <v>27</v>
      </c>
      <c r="O39" s="17" t="s">
        <v>28</v>
      </c>
      <c r="P39" s="29" t="s">
        <v>28</v>
      </c>
      <c r="Q39" s="17" t="s">
        <v>28</v>
      </c>
      <c r="R39" s="17" t="s">
        <v>28</v>
      </c>
      <c r="S39" s="17" t="s">
        <v>28</v>
      </c>
      <c r="U39" s="17" t="s">
        <v>28</v>
      </c>
      <c r="V39" s="17" t="s">
        <v>28</v>
      </c>
      <c r="W39" s="17" t="s">
        <v>77</v>
      </c>
      <c r="X39" s="17" t="s">
        <v>75</v>
      </c>
    </row>
    <row r="40" spans="1:24" x14ac:dyDescent="0.3">
      <c r="A40" s="15">
        <v>39</v>
      </c>
      <c r="B40" s="16" t="s">
        <v>145</v>
      </c>
      <c r="C40" s="16" t="s">
        <v>146</v>
      </c>
      <c r="D40" s="16" t="s">
        <v>147</v>
      </c>
      <c r="E40" s="35">
        <v>44797</v>
      </c>
      <c r="F40" s="17" t="s">
        <v>75</v>
      </c>
      <c r="G40" s="36">
        <f t="shared" si="0"/>
        <v>44682</v>
      </c>
      <c r="H40" s="18">
        <v>44698</v>
      </c>
      <c r="I40" s="19">
        <v>100</v>
      </c>
      <c r="J40" s="19">
        <v>0.24929999999999999</v>
      </c>
      <c r="K40" s="28">
        <v>2.4899999999999999E-2</v>
      </c>
      <c r="L40" s="17" t="s">
        <v>84</v>
      </c>
      <c r="M40" s="17" t="s">
        <v>27</v>
      </c>
      <c r="N40" s="17" t="s">
        <v>27</v>
      </c>
      <c r="O40" s="17" t="s">
        <v>28</v>
      </c>
      <c r="P40" s="29" t="s">
        <v>28</v>
      </c>
      <c r="Q40" s="17" t="s">
        <v>28</v>
      </c>
      <c r="R40" s="17" t="s">
        <v>28</v>
      </c>
      <c r="S40" s="17" t="s">
        <v>28</v>
      </c>
      <c r="U40" s="17" t="s">
        <v>28</v>
      </c>
      <c r="V40" s="17" t="s">
        <v>28</v>
      </c>
      <c r="W40" s="17" t="s">
        <v>77</v>
      </c>
      <c r="X40" s="17" t="s">
        <v>75</v>
      </c>
    </row>
    <row r="41" spans="1:24" x14ac:dyDescent="0.3">
      <c r="A41" s="15">
        <v>40</v>
      </c>
      <c r="B41" s="16" t="s">
        <v>148</v>
      </c>
      <c r="C41" s="16" t="s">
        <v>149</v>
      </c>
      <c r="D41" s="16" t="s">
        <v>150</v>
      </c>
      <c r="E41" s="35">
        <v>45071</v>
      </c>
      <c r="F41" s="17" t="s">
        <v>75</v>
      </c>
      <c r="G41" s="36">
        <f t="shared" si="0"/>
        <v>44682</v>
      </c>
      <c r="H41" s="18">
        <v>44698</v>
      </c>
      <c r="I41" s="19">
        <v>150</v>
      </c>
      <c r="J41" s="19">
        <v>1</v>
      </c>
      <c r="K41" s="28">
        <v>2.8000000000000001E-2</v>
      </c>
      <c r="L41" s="17" t="s">
        <v>76</v>
      </c>
      <c r="M41" s="17" t="s">
        <v>27</v>
      </c>
      <c r="N41" s="17" t="s">
        <v>27</v>
      </c>
      <c r="O41" s="17" t="s">
        <v>28</v>
      </c>
      <c r="P41" s="29" t="s">
        <v>28</v>
      </c>
      <c r="Q41" s="17" t="s">
        <v>28</v>
      </c>
      <c r="R41" s="17" t="s">
        <v>28</v>
      </c>
      <c r="S41" s="17" t="s">
        <v>28</v>
      </c>
      <c r="U41" s="34">
        <v>2</v>
      </c>
      <c r="V41" s="17" t="s">
        <v>28</v>
      </c>
      <c r="W41" s="17" t="s">
        <v>77</v>
      </c>
      <c r="X41" s="17" t="s">
        <v>75</v>
      </c>
    </row>
    <row r="42" spans="1:24" x14ac:dyDescent="0.3">
      <c r="A42" s="15">
        <v>41</v>
      </c>
      <c r="B42" s="16" t="s">
        <v>151</v>
      </c>
      <c r="C42" s="16" t="s">
        <v>152</v>
      </c>
      <c r="D42" s="16" t="s">
        <v>153</v>
      </c>
      <c r="E42" s="35">
        <v>44826</v>
      </c>
      <c r="F42" s="17" t="s">
        <v>75</v>
      </c>
      <c r="G42" s="36">
        <f t="shared" si="0"/>
        <v>44621</v>
      </c>
      <c r="H42" s="18">
        <v>44636</v>
      </c>
      <c r="I42" s="19">
        <v>50</v>
      </c>
      <c r="J42" s="19">
        <v>0.49859999999999999</v>
      </c>
      <c r="K42" s="28">
        <v>2.5999999999999999E-2</v>
      </c>
      <c r="L42" s="17" t="s">
        <v>84</v>
      </c>
      <c r="M42" s="17" t="s">
        <v>27</v>
      </c>
      <c r="N42" s="17" t="s">
        <v>27</v>
      </c>
      <c r="O42" s="17" t="s">
        <v>28</v>
      </c>
      <c r="P42" s="29" t="s">
        <v>28</v>
      </c>
      <c r="Q42" s="17" t="s">
        <v>28</v>
      </c>
      <c r="R42" s="17" t="s">
        <v>28</v>
      </c>
      <c r="S42" s="17" t="s">
        <v>28</v>
      </c>
      <c r="U42" s="17" t="s">
        <v>28</v>
      </c>
      <c r="V42" s="17" t="s">
        <v>28</v>
      </c>
      <c r="W42" s="17" t="s">
        <v>77</v>
      </c>
      <c r="X42" s="17" t="s">
        <v>75</v>
      </c>
    </row>
    <row r="43" spans="1:24" x14ac:dyDescent="0.3">
      <c r="A43" s="15">
        <v>42</v>
      </c>
      <c r="B43" s="16" t="s">
        <v>154</v>
      </c>
      <c r="C43" s="16" t="s">
        <v>155</v>
      </c>
      <c r="D43" s="16" t="s">
        <v>156</v>
      </c>
      <c r="E43" s="35">
        <v>44706</v>
      </c>
      <c r="F43" s="17" t="s">
        <v>75</v>
      </c>
      <c r="G43" s="36">
        <f t="shared" si="0"/>
        <v>44593</v>
      </c>
      <c r="H43" s="18">
        <v>44607</v>
      </c>
      <c r="I43" s="19">
        <v>100</v>
      </c>
      <c r="J43" s="19">
        <v>0.24929999999999999</v>
      </c>
      <c r="K43" s="28">
        <v>2.5000000000000001E-2</v>
      </c>
      <c r="L43" s="17" t="s">
        <v>84</v>
      </c>
      <c r="M43" s="17" t="s">
        <v>27</v>
      </c>
      <c r="N43" s="17" t="s">
        <v>27</v>
      </c>
      <c r="O43" s="17" t="s">
        <v>28</v>
      </c>
      <c r="P43" s="29" t="s">
        <v>28</v>
      </c>
      <c r="Q43" s="17" t="s">
        <v>28</v>
      </c>
      <c r="R43" s="17" t="s">
        <v>28</v>
      </c>
      <c r="S43" s="17" t="s">
        <v>28</v>
      </c>
      <c r="U43" s="17" t="s">
        <v>28</v>
      </c>
      <c r="V43" s="17" t="s">
        <v>28</v>
      </c>
      <c r="W43" s="17" t="s">
        <v>77</v>
      </c>
      <c r="X43" s="17" t="s">
        <v>75</v>
      </c>
    </row>
    <row r="44" spans="1:24" x14ac:dyDescent="0.3">
      <c r="A44" s="15">
        <v>43</v>
      </c>
      <c r="B44" s="16" t="s">
        <v>157</v>
      </c>
      <c r="C44" s="16" t="s">
        <v>158</v>
      </c>
      <c r="D44" s="16" t="s">
        <v>159</v>
      </c>
      <c r="E44" s="35">
        <v>44980</v>
      </c>
      <c r="F44" s="17" t="s">
        <v>75</v>
      </c>
      <c r="G44" s="36">
        <f t="shared" si="0"/>
        <v>44593</v>
      </c>
      <c r="H44" s="18">
        <v>44607</v>
      </c>
      <c r="I44" s="19">
        <v>150</v>
      </c>
      <c r="J44" s="19">
        <v>1</v>
      </c>
      <c r="K44" s="28">
        <v>2.7E-2</v>
      </c>
      <c r="L44" s="17" t="s">
        <v>76</v>
      </c>
      <c r="M44" s="17" t="s">
        <v>27</v>
      </c>
      <c r="N44" s="17" t="s">
        <v>27</v>
      </c>
      <c r="O44" s="17" t="s">
        <v>28</v>
      </c>
      <c r="P44" s="29" t="s">
        <v>28</v>
      </c>
      <c r="Q44" s="17" t="s">
        <v>28</v>
      </c>
      <c r="R44" s="17" t="s">
        <v>28</v>
      </c>
      <c r="S44" s="17" t="s">
        <v>28</v>
      </c>
      <c r="U44" s="34">
        <v>2</v>
      </c>
      <c r="V44" s="17" t="s">
        <v>28</v>
      </c>
      <c r="W44" s="17" t="s">
        <v>77</v>
      </c>
      <c r="X44" s="17" t="s">
        <v>75</v>
      </c>
    </row>
    <row r="45" spans="1:24" x14ac:dyDescent="0.3">
      <c r="A45" s="15">
        <v>44</v>
      </c>
      <c r="B45" s="16" t="s">
        <v>160</v>
      </c>
      <c r="C45" s="16" t="s">
        <v>161</v>
      </c>
      <c r="D45" s="16" t="s">
        <v>162</v>
      </c>
      <c r="E45" s="35">
        <v>44735</v>
      </c>
      <c r="F45" s="17" t="s">
        <v>75</v>
      </c>
      <c r="G45" s="36">
        <f t="shared" si="0"/>
        <v>44531</v>
      </c>
      <c r="H45" s="18">
        <v>44545</v>
      </c>
      <c r="I45" s="19">
        <v>50</v>
      </c>
      <c r="J45" s="19">
        <v>0.49859999999999999</v>
      </c>
      <c r="K45" s="28">
        <v>2.5000000000000001E-2</v>
      </c>
      <c r="L45" s="17" t="s">
        <v>84</v>
      </c>
      <c r="M45" s="17" t="s">
        <v>27</v>
      </c>
      <c r="N45" s="17" t="s">
        <v>27</v>
      </c>
      <c r="O45" s="17" t="s">
        <v>28</v>
      </c>
      <c r="P45" s="29" t="s">
        <v>28</v>
      </c>
      <c r="Q45" s="17" t="s">
        <v>28</v>
      </c>
      <c r="R45" s="17" t="s">
        <v>28</v>
      </c>
      <c r="S45" s="17" t="s">
        <v>28</v>
      </c>
      <c r="U45" s="17" t="s">
        <v>28</v>
      </c>
      <c r="V45" s="17" t="s">
        <v>28</v>
      </c>
      <c r="W45" s="17" t="s">
        <v>77</v>
      </c>
      <c r="X45" s="17" t="s">
        <v>75</v>
      </c>
    </row>
    <row r="46" spans="1:24" x14ac:dyDescent="0.3">
      <c r="A46" s="20">
        <v>45</v>
      </c>
      <c r="B46" s="21" t="s">
        <v>163</v>
      </c>
      <c r="C46" s="21" t="s">
        <v>164</v>
      </c>
      <c r="D46" s="21" t="s">
        <v>165</v>
      </c>
      <c r="E46" s="35">
        <v>44614</v>
      </c>
      <c r="F46" s="17" t="s">
        <v>75</v>
      </c>
      <c r="G46" s="36">
        <f t="shared" si="0"/>
        <v>44501</v>
      </c>
      <c r="H46" s="18">
        <v>44515</v>
      </c>
      <c r="I46" s="19">
        <v>100</v>
      </c>
      <c r="J46" s="19">
        <v>0.24929999999999999</v>
      </c>
      <c r="K46" s="28">
        <v>2.5899999999999999E-2</v>
      </c>
      <c r="L46" s="17" t="s">
        <v>84</v>
      </c>
      <c r="M46" s="17" t="s">
        <v>27</v>
      </c>
      <c r="N46" s="17" t="s">
        <v>27</v>
      </c>
      <c r="O46" s="17" t="s">
        <v>28</v>
      </c>
      <c r="P46" s="29" t="s">
        <v>28</v>
      </c>
      <c r="Q46" s="17" t="s">
        <v>28</v>
      </c>
      <c r="R46" s="17" t="s">
        <v>28</v>
      </c>
      <c r="S46" s="17" t="s">
        <v>28</v>
      </c>
      <c r="U46" s="17" t="s">
        <v>28</v>
      </c>
      <c r="V46" s="17" t="s">
        <v>28</v>
      </c>
      <c r="W46" s="17" t="s">
        <v>77</v>
      </c>
      <c r="X46" s="17" t="s">
        <v>75</v>
      </c>
    </row>
    <row r="47" spans="1:24" x14ac:dyDescent="0.3">
      <c r="A47" s="15">
        <v>46</v>
      </c>
      <c r="B47" s="16" t="s">
        <v>166</v>
      </c>
      <c r="C47" s="16" t="s">
        <v>167</v>
      </c>
      <c r="D47" s="16" t="s">
        <v>168</v>
      </c>
      <c r="E47" s="35">
        <v>44888</v>
      </c>
      <c r="F47" s="17" t="s">
        <v>75</v>
      </c>
      <c r="G47" s="36">
        <f t="shared" si="0"/>
        <v>44501</v>
      </c>
      <c r="H47" s="18">
        <v>44515</v>
      </c>
      <c r="I47" s="19">
        <v>150</v>
      </c>
      <c r="J47" s="19">
        <v>1</v>
      </c>
      <c r="K47" s="28">
        <v>2.75E-2</v>
      </c>
      <c r="L47" s="17" t="s">
        <v>76</v>
      </c>
      <c r="M47" s="17" t="s">
        <v>27</v>
      </c>
      <c r="N47" s="17" t="s">
        <v>27</v>
      </c>
      <c r="O47" s="17" t="s">
        <v>28</v>
      </c>
      <c r="P47" s="29" t="s">
        <v>28</v>
      </c>
      <c r="Q47" s="17" t="s">
        <v>28</v>
      </c>
      <c r="R47" s="17" t="s">
        <v>28</v>
      </c>
      <c r="S47" s="17" t="s">
        <v>28</v>
      </c>
      <c r="U47" s="34">
        <v>2</v>
      </c>
      <c r="V47" s="17" t="s">
        <v>28</v>
      </c>
      <c r="W47" s="17" t="s">
        <v>77</v>
      </c>
      <c r="X47" s="17" t="s">
        <v>75</v>
      </c>
    </row>
    <row r="48" spans="1:24" x14ac:dyDescent="0.3">
      <c r="A48" s="15">
        <v>47</v>
      </c>
      <c r="B48" s="16" t="s">
        <v>169</v>
      </c>
      <c r="C48" s="16" t="s">
        <v>170</v>
      </c>
      <c r="D48" s="16" t="s">
        <v>171</v>
      </c>
      <c r="E48" s="35">
        <v>44649</v>
      </c>
      <c r="F48" s="12" t="s">
        <v>75</v>
      </c>
      <c r="G48" s="36">
        <f t="shared" si="0"/>
        <v>44440</v>
      </c>
      <c r="H48" s="13">
        <v>44456</v>
      </c>
      <c r="I48" s="14">
        <v>50</v>
      </c>
      <c r="J48" s="14">
        <v>0.49859999999999999</v>
      </c>
      <c r="K48" s="26">
        <v>2.5000000000000001E-2</v>
      </c>
      <c r="L48" s="12" t="s">
        <v>84</v>
      </c>
      <c r="M48" s="12" t="s">
        <v>27</v>
      </c>
      <c r="N48" s="12" t="s">
        <v>27</v>
      </c>
      <c r="O48" s="12" t="s">
        <v>28</v>
      </c>
      <c r="P48" s="27" t="s">
        <v>28</v>
      </c>
      <c r="Q48" s="12" t="s">
        <v>28</v>
      </c>
      <c r="R48" s="12" t="s">
        <v>28</v>
      </c>
      <c r="S48" s="12" t="s">
        <v>28</v>
      </c>
      <c r="U48" s="12" t="s">
        <v>28</v>
      </c>
      <c r="V48" s="12" t="s">
        <v>28</v>
      </c>
      <c r="W48" s="12" t="s">
        <v>77</v>
      </c>
      <c r="X48" s="12" t="s">
        <v>75</v>
      </c>
    </row>
    <row r="49" spans="1:24" x14ac:dyDescent="0.3">
      <c r="A49" s="15">
        <v>48</v>
      </c>
      <c r="B49" s="16" t="s">
        <v>172</v>
      </c>
      <c r="C49" s="16" t="s">
        <v>173</v>
      </c>
      <c r="D49" s="16" t="s">
        <v>174</v>
      </c>
      <c r="E49" s="35">
        <v>44523</v>
      </c>
      <c r="F49" s="17" t="s">
        <v>75</v>
      </c>
      <c r="G49" s="36">
        <f t="shared" si="0"/>
        <v>44409</v>
      </c>
      <c r="H49" s="18">
        <v>44424</v>
      </c>
      <c r="I49" s="19">
        <v>100</v>
      </c>
      <c r="J49" s="19">
        <v>0.24929999999999999</v>
      </c>
      <c r="K49" s="28">
        <v>2.5999999999999999E-2</v>
      </c>
      <c r="L49" s="17" t="s">
        <v>84</v>
      </c>
      <c r="M49" s="17" t="s">
        <v>27</v>
      </c>
      <c r="N49" s="17" t="s">
        <v>27</v>
      </c>
      <c r="O49" s="17" t="s">
        <v>28</v>
      </c>
      <c r="P49" s="29" t="s">
        <v>28</v>
      </c>
      <c r="Q49" s="17" t="s">
        <v>28</v>
      </c>
      <c r="R49" s="17" t="s">
        <v>28</v>
      </c>
      <c r="S49" s="17" t="s">
        <v>28</v>
      </c>
      <c r="U49" s="17" t="s">
        <v>28</v>
      </c>
      <c r="V49" s="17" t="s">
        <v>28</v>
      </c>
      <c r="W49" s="17" t="s">
        <v>77</v>
      </c>
      <c r="X49" s="17" t="s">
        <v>75</v>
      </c>
    </row>
    <row r="50" spans="1:24" x14ac:dyDescent="0.3">
      <c r="A50" s="15">
        <v>49</v>
      </c>
      <c r="B50" s="16" t="s">
        <v>175</v>
      </c>
      <c r="C50" s="16" t="s">
        <v>176</v>
      </c>
      <c r="D50" s="16" t="s">
        <v>177</v>
      </c>
      <c r="E50" s="35">
        <v>44797</v>
      </c>
      <c r="F50" s="17" t="s">
        <v>75</v>
      </c>
      <c r="G50" s="36">
        <f t="shared" si="0"/>
        <v>44409</v>
      </c>
      <c r="H50" s="18">
        <v>44424</v>
      </c>
      <c r="I50" s="19">
        <v>150</v>
      </c>
      <c r="J50" s="19">
        <v>1</v>
      </c>
      <c r="K50" s="28">
        <v>2.75E-2</v>
      </c>
      <c r="L50" s="17" t="s">
        <v>76</v>
      </c>
      <c r="M50" s="17" t="s">
        <v>27</v>
      </c>
      <c r="N50" s="17" t="s">
        <v>27</v>
      </c>
      <c r="O50" s="17" t="s">
        <v>28</v>
      </c>
      <c r="P50" s="29" t="s">
        <v>28</v>
      </c>
      <c r="Q50" s="17" t="s">
        <v>28</v>
      </c>
      <c r="R50" s="17" t="s">
        <v>28</v>
      </c>
      <c r="S50" s="17" t="s">
        <v>28</v>
      </c>
      <c r="U50" s="34">
        <v>2</v>
      </c>
      <c r="V50" s="17" t="s">
        <v>28</v>
      </c>
      <c r="W50" s="17" t="s">
        <v>77</v>
      </c>
      <c r="X50" s="17" t="s">
        <v>75</v>
      </c>
    </row>
    <row r="51" spans="1:24" x14ac:dyDescent="0.3">
      <c r="A51" s="15">
        <v>50</v>
      </c>
      <c r="B51" s="16" t="s">
        <v>178</v>
      </c>
      <c r="C51" s="16" t="s">
        <v>179</v>
      </c>
      <c r="D51" s="16" t="s">
        <v>180</v>
      </c>
      <c r="E51" s="35">
        <v>44557</v>
      </c>
      <c r="F51" s="17" t="s">
        <v>75</v>
      </c>
      <c r="G51" s="36">
        <f t="shared" si="0"/>
        <v>44348</v>
      </c>
      <c r="H51" s="18">
        <v>44365</v>
      </c>
      <c r="I51" s="19">
        <v>50</v>
      </c>
      <c r="J51" s="19">
        <v>0.49859999999999999</v>
      </c>
      <c r="K51" s="28">
        <v>2.5399999999999999E-2</v>
      </c>
      <c r="L51" s="17" t="s">
        <v>84</v>
      </c>
      <c r="M51" s="17" t="s">
        <v>27</v>
      </c>
      <c r="N51" s="17" t="s">
        <v>27</v>
      </c>
      <c r="O51" s="17" t="s">
        <v>28</v>
      </c>
      <c r="P51" s="29" t="s">
        <v>28</v>
      </c>
      <c r="Q51" s="17" t="s">
        <v>28</v>
      </c>
      <c r="R51" s="17" t="s">
        <v>28</v>
      </c>
      <c r="S51" s="17" t="s">
        <v>28</v>
      </c>
      <c r="U51" s="17" t="s">
        <v>28</v>
      </c>
      <c r="V51" s="17" t="s">
        <v>28</v>
      </c>
      <c r="W51" s="17" t="s">
        <v>77</v>
      </c>
      <c r="X51" s="17" t="s">
        <v>75</v>
      </c>
    </row>
    <row r="52" spans="1:24" x14ac:dyDescent="0.3">
      <c r="A52" s="15">
        <v>51</v>
      </c>
      <c r="B52" s="16" t="s">
        <v>181</v>
      </c>
      <c r="C52" s="16" t="s">
        <v>182</v>
      </c>
      <c r="D52" s="16" t="s">
        <v>183</v>
      </c>
      <c r="E52" s="35">
        <v>44432</v>
      </c>
      <c r="F52" s="17" t="s">
        <v>75</v>
      </c>
      <c r="G52" s="36">
        <f t="shared" si="0"/>
        <v>44317</v>
      </c>
      <c r="H52" s="18">
        <v>44333</v>
      </c>
      <c r="I52" s="19">
        <v>100</v>
      </c>
      <c r="J52" s="19">
        <v>0.24929999999999999</v>
      </c>
      <c r="K52" s="28">
        <v>2.4799999999999999E-2</v>
      </c>
      <c r="L52" s="17" t="s">
        <v>84</v>
      </c>
      <c r="M52" s="17" t="s">
        <v>27</v>
      </c>
      <c r="N52" s="17" t="s">
        <v>27</v>
      </c>
      <c r="O52" s="17" t="s">
        <v>28</v>
      </c>
      <c r="P52" s="29" t="s">
        <v>28</v>
      </c>
      <c r="Q52" s="17" t="s">
        <v>28</v>
      </c>
      <c r="R52" s="17" t="s">
        <v>28</v>
      </c>
      <c r="S52" s="17" t="s">
        <v>28</v>
      </c>
      <c r="U52" s="17" t="s">
        <v>28</v>
      </c>
      <c r="V52" s="17" t="s">
        <v>28</v>
      </c>
      <c r="W52" s="17" t="s">
        <v>77</v>
      </c>
      <c r="X52" s="17" t="s">
        <v>75</v>
      </c>
    </row>
    <row r="53" spans="1:24" x14ac:dyDescent="0.3">
      <c r="A53" s="15">
        <v>52</v>
      </c>
      <c r="B53" s="16" t="s">
        <v>184</v>
      </c>
      <c r="C53" s="16" t="s">
        <v>185</v>
      </c>
      <c r="D53" s="16" t="s">
        <v>186</v>
      </c>
      <c r="E53" s="35">
        <v>44706</v>
      </c>
      <c r="F53" s="17" t="s">
        <v>75</v>
      </c>
      <c r="G53" s="36">
        <f t="shared" si="0"/>
        <v>44317</v>
      </c>
      <c r="H53" s="18">
        <v>44333</v>
      </c>
      <c r="I53" s="19">
        <v>150</v>
      </c>
      <c r="J53" s="19">
        <v>1</v>
      </c>
      <c r="K53" s="28">
        <v>2.63E-2</v>
      </c>
      <c r="L53" s="17" t="s">
        <v>76</v>
      </c>
      <c r="M53" s="17" t="s">
        <v>27</v>
      </c>
      <c r="N53" s="17" t="s">
        <v>27</v>
      </c>
      <c r="O53" s="17" t="s">
        <v>28</v>
      </c>
      <c r="P53" s="29" t="s">
        <v>28</v>
      </c>
      <c r="Q53" s="17" t="s">
        <v>28</v>
      </c>
      <c r="R53" s="17" t="s">
        <v>28</v>
      </c>
      <c r="S53" s="17" t="s">
        <v>28</v>
      </c>
      <c r="U53" s="34">
        <v>2</v>
      </c>
      <c r="V53" s="17" t="s">
        <v>28</v>
      </c>
      <c r="W53" s="17" t="s">
        <v>77</v>
      </c>
      <c r="X53" s="17" t="s">
        <v>75</v>
      </c>
    </row>
    <row r="54" spans="1:24" x14ac:dyDescent="0.3">
      <c r="A54" s="15">
        <v>53</v>
      </c>
      <c r="B54" s="16" t="s">
        <v>187</v>
      </c>
      <c r="C54" s="16" t="s">
        <v>188</v>
      </c>
      <c r="D54" s="16" t="s">
        <v>189</v>
      </c>
      <c r="E54" s="35">
        <v>44466</v>
      </c>
      <c r="F54" s="17" t="s">
        <v>75</v>
      </c>
      <c r="G54" s="36">
        <f t="shared" si="0"/>
        <v>44256</v>
      </c>
      <c r="H54" s="18">
        <v>44274</v>
      </c>
      <c r="I54" s="19">
        <v>50</v>
      </c>
      <c r="J54" s="19">
        <v>0.49859999999999999</v>
      </c>
      <c r="K54" s="28">
        <v>2.5999999999999999E-2</v>
      </c>
      <c r="L54" s="17" t="s">
        <v>84</v>
      </c>
      <c r="M54" s="17" t="s">
        <v>27</v>
      </c>
      <c r="N54" s="17" t="s">
        <v>27</v>
      </c>
      <c r="O54" s="17" t="s">
        <v>28</v>
      </c>
      <c r="P54" s="29" t="s">
        <v>28</v>
      </c>
      <c r="Q54" s="17" t="s">
        <v>28</v>
      </c>
      <c r="R54" s="17" t="s">
        <v>28</v>
      </c>
      <c r="S54" s="17" t="s">
        <v>28</v>
      </c>
      <c r="U54" s="17" t="s">
        <v>28</v>
      </c>
      <c r="V54" s="17" t="s">
        <v>28</v>
      </c>
      <c r="W54" s="17" t="s">
        <v>77</v>
      </c>
      <c r="X54" s="17" t="s">
        <v>75</v>
      </c>
    </row>
    <row r="55" spans="1:24" x14ac:dyDescent="0.3">
      <c r="A55" s="15">
        <v>54</v>
      </c>
      <c r="B55" s="16" t="s">
        <v>190</v>
      </c>
      <c r="C55" s="16" t="s">
        <v>191</v>
      </c>
      <c r="D55" s="16" t="s">
        <v>192</v>
      </c>
      <c r="E55" s="35">
        <v>44341</v>
      </c>
      <c r="F55" s="17" t="s">
        <v>75</v>
      </c>
      <c r="G55" s="36">
        <f t="shared" si="0"/>
        <v>44228</v>
      </c>
      <c r="H55" s="18">
        <v>44237</v>
      </c>
      <c r="I55" s="19">
        <v>100</v>
      </c>
      <c r="J55" s="19">
        <v>0.24929999999999999</v>
      </c>
      <c r="K55" s="28">
        <v>2.7E-2</v>
      </c>
      <c r="L55" s="17" t="s">
        <v>84</v>
      </c>
      <c r="M55" s="17" t="s">
        <v>27</v>
      </c>
      <c r="N55" s="17" t="s">
        <v>27</v>
      </c>
      <c r="O55" s="17" t="s">
        <v>28</v>
      </c>
      <c r="P55" s="29" t="s">
        <v>28</v>
      </c>
      <c r="Q55" s="17" t="s">
        <v>28</v>
      </c>
      <c r="R55" s="17" t="s">
        <v>28</v>
      </c>
      <c r="S55" s="17" t="s">
        <v>28</v>
      </c>
      <c r="U55" s="17" t="s">
        <v>28</v>
      </c>
      <c r="V55" s="17" t="s">
        <v>28</v>
      </c>
      <c r="W55" s="17" t="s">
        <v>77</v>
      </c>
      <c r="X55" s="17" t="s">
        <v>75</v>
      </c>
    </row>
    <row r="56" spans="1:24" x14ac:dyDescent="0.3">
      <c r="A56" s="15">
        <v>55</v>
      </c>
      <c r="B56" s="16" t="s">
        <v>193</v>
      </c>
      <c r="C56" s="16" t="s">
        <v>194</v>
      </c>
      <c r="D56" s="16" t="s">
        <v>195</v>
      </c>
      <c r="E56" s="35">
        <v>44615</v>
      </c>
      <c r="F56" s="17" t="s">
        <v>75</v>
      </c>
      <c r="G56" s="36">
        <f t="shared" si="0"/>
        <v>44228</v>
      </c>
      <c r="H56" s="18">
        <v>44237</v>
      </c>
      <c r="I56" s="19">
        <v>150</v>
      </c>
      <c r="J56" s="19">
        <v>1</v>
      </c>
      <c r="K56" s="28">
        <v>2.7400000000000001E-2</v>
      </c>
      <c r="L56" s="17" t="s">
        <v>76</v>
      </c>
      <c r="M56" s="17" t="s">
        <v>27</v>
      </c>
      <c r="N56" s="17" t="s">
        <v>27</v>
      </c>
      <c r="O56" s="17" t="s">
        <v>28</v>
      </c>
      <c r="P56" s="29" t="s">
        <v>28</v>
      </c>
      <c r="Q56" s="17" t="s">
        <v>28</v>
      </c>
      <c r="R56" s="17" t="s">
        <v>28</v>
      </c>
      <c r="S56" s="17" t="s">
        <v>28</v>
      </c>
      <c r="U56" s="34">
        <v>2</v>
      </c>
      <c r="V56" s="17" t="s">
        <v>28</v>
      </c>
      <c r="W56" s="17" t="s">
        <v>77</v>
      </c>
      <c r="X56" s="17" t="s">
        <v>75</v>
      </c>
    </row>
    <row r="57" spans="1:24" x14ac:dyDescent="0.3">
      <c r="A57" s="15">
        <v>56</v>
      </c>
      <c r="B57" s="16" t="s">
        <v>196</v>
      </c>
      <c r="C57" s="16" t="s">
        <v>197</v>
      </c>
      <c r="D57" s="16" t="s">
        <v>198</v>
      </c>
      <c r="E57" s="35">
        <v>44375</v>
      </c>
      <c r="F57" s="17" t="s">
        <v>75</v>
      </c>
      <c r="G57" s="36">
        <f t="shared" si="0"/>
        <v>44166</v>
      </c>
      <c r="H57" s="18">
        <v>44182</v>
      </c>
      <c r="I57" s="19">
        <v>100</v>
      </c>
      <c r="J57" s="19">
        <v>0.49859999999999999</v>
      </c>
      <c r="K57" s="28">
        <v>2.7E-2</v>
      </c>
      <c r="L57" s="17" t="s">
        <v>84</v>
      </c>
      <c r="M57" s="17" t="s">
        <v>27</v>
      </c>
      <c r="N57" s="17" t="s">
        <v>27</v>
      </c>
      <c r="O57" s="17" t="s">
        <v>28</v>
      </c>
      <c r="P57" s="29" t="s">
        <v>28</v>
      </c>
      <c r="Q57" s="17" t="s">
        <v>28</v>
      </c>
      <c r="R57" s="17" t="s">
        <v>28</v>
      </c>
      <c r="S57" s="17" t="s">
        <v>28</v>
      </c>
      <c r="U57" s="17" t="s">
        <v>28</v>
      </c>
      <c r="V57" s="17" t="s">
        <v>28</v>
      </c>
      <c r="W57" s="17" t="s">
        <v>77</v>
      </c>
      <c r="X57" s="17" t="s">
        <v>75</v>
      </c>
    </row>
    <row r="58" spans="1:24" x14ac:dyDescent="0.3">
      <c r="A58" s="15">
        <v>57</v>
      </c>
      <c r="B58" s="16" t="s">
        <v>199</v>
      </c>
      <c r="C58" s="16" t="s">
        <v>200</v>
      </c>
      <c r="D58" s="16" t="s">
        <v>201</v>
      </c>
      <c r="E58" s="35">
        <v>44242</v>
      </c>
      <c r="F58" s="17" t="s">
        <v>75</v>
      </c>
      <c r="G58" s="36">
        <f t="shared" si="0"/>
        <v>44136</v>
      </c>
      <c r="H58" s="18">
        <v>44141</v>
      </c>
      <c r="I58" s="19">
        <v>100</v>
      </c>
      <c r="J58" s="19">
        <v>0.24929999999999999</v>
      </c>
      <c r="K58" s="28">
        <v>2.8500000000000001E-2</v>
      </c>
      <c r="L58" s="17" t="s">
        <v>84</v>
      </c>
      <c r="M58" s="17" t="s">
        <v>27</v>
      </c>
      <c r="N58" s="17" t="s">
        <v>27</v>
      </c>
      <c r="O58" s="17" t="s">
        <v>28</v>
      </c>
      <c r="P58" s="29" t="s">
        <v>28</v>
      </c>
      <c r="Q58" s="17" t="s">
        <v>28</v>
      </c>
      <c r="R58" s="17" t="s">
        <v>28</v>
      </c>
      <c r="S58" s="17" t="s">
        <v>28</v>
      </c>
      <c r="U58" s="17" t="s">
        <v>28</v>
      </c>
      <c r="V58" s="17" t="s">
        <v>28</v>
      </c>
      <c r="W58" s="17" t="s">
        <v>77</v>
      </c>
      <c r="X58" s="17" t="s">
        <v>75</v>
      </c>
    </row>
    <row r="59" spans="1:24" x14ac:dyDescent="0.3">
      <c r="A59" s="15">
        <v>58</v>
      </c>
      <c r="B59" s="16" t="s">
        <v>202</v>
      </c>
      <c r="C59" s="16" t="s">
        <v>203</v>
      </c>
      <c r="D59" s="16" t="s">
        <v>204</v>
      </c>
      <c r="E59" s="35">
        <v>44516</v>
      </c>
      <c r="F59" s="17" t="s">
        <v>75</v>
      </c>
      <c r="G59" s="36">
        <f t="shared" si="0"/>
        <v>44136</v>
      </c>
      <c r="H59" s="18">
        <v>44141</v>
      </c>
      <c r="I59" s="19">
        <v>150</v>
      </c>
      <c r="J59" s="19">
        <v>1</v>
      </c>
      <c r="K59" s="28">
        <v>2.9000000000000001E-2</v>
      </c>
      <c r="L59" s="17" t="s">
        <v>76</v>
      </c>
      <c r="M59" s="17" t="s">
        <v>27</v>
      </c>
      <c r="N59" s="17" t="s">
        <v>27</v>
      </c>
      <c r="O59" s="17" t="s">
        <v>28</v>
      </c>
      <c r="P59" s="29" t="s">
        <v>28</v>
      </c>
      <c r="Q59" s="17" t="s">
        <v>28</v>
      </c>
      <c r="R59" s="17" t="s">
        <v>28</v>
      </c>
      <c r="S59" s="17" t="s">
        <v>28</v>
      </c>
      <c r="U59" s="34">
        <v>2</v>
      </c>
      <c r="V59" s="17" t="s">
        <v>28</v>
      </c>
      <c r="W59" s="17" t="s">
        <v>77</v>
      </c>
      <c r="X59" s="17" t="s">
        <v>75</v>
      </c>
    </row>
    <row r="60" spans="1:24" x14ac:dyDescent="0.3">
      <c r="A60" s="15">
        <v>59</v>
      </c>
      <c r="B60" s="16" t="s">
        <v>205</v>
      </c>
      <c r="C60" s="16" t="s">
        <v>206</v>
      </c>
      <c r="D60" s="16" t="s">
        <v>207</v>
      </c>
      <c r="E60" s="35">
        <v>44284</v>
      </c>
      <c r="F60" s="17" t="s">
        <v>75</v>
      </c>
      <c r="G60" s="36">
        <f t="shared" si="0"/>
        <v>44075</v>
      </c>
      <c r="H60" s="18">
        <v>44092</v>
      </c>
      <c r="I60" s="19">
        <v>100</v>
      </c>
      <c r="J60" s="19">
        <v>0.49859999999999999</v>
      </c>
      <c r="K60" s="28">
        <v>2.6800000000000001E-2</v>
      </c>
      <c r="L60" s="17" t="s">
        <v>84</v>
      </c>
      <c r="M60" s="17" t="s">
        <v>27</v>
      </c>
      <c r="N60" s="17" t="s">
        <v>27</v>
      </c>
      <c r="O60" s="17" t="s">
        <v>28</v>
      </c>
      <c r="P60" s="29" t="s">
        <v>28</v>
      </c>
      <c r="Q60" s="17" t="s">
        <v>28</v>
      </c>
      <c r="R60" s="17" t="s">
        <v>28</v>
      </c>
      <c r="S60" s="17" t="s">
        <v>28</v>
      </c>
      <c r="U60" s="17" t="s">
        <v>28</v>
      </c>
      <c r="V60" s="17" t="s">
        <v>28</v>
      </c>
      <c r="W60" s="17" t="s">
        <v>77</v>
      </c>
      <c r="X60" s="17" t="s">
        <v>75</v>
      </c>
    </row>
    <row r="61" spans="1:24" x14ac:dyDescent="0.3">
      <c r="A61" s="20">
        <v>60</v>
      </c>
      <c r="B61" s="21" t="s">
        <v>208</v>
      </c>
      <c r="C61" s="21" t="s">
        <v>209</v>
      </c>
      <c r="D61" s="21" t="s">
        <v>210</v>
      </c>
      <c r="E61" s="35">
        <v>44151</v>
      </c>
      <c r="F61" s="17" t="s">
        <v>75</v>
      </c>
      <c r="G61" s="36">
        <f t="shared" si="0"/>
        <v>44044</v>
      </c>
      <c r="H61" s="18">
        <v>44050</v>
      </c>
      <c r="I61" s="19">
        <v>200</v>
      </c>
      <c r="J61" s="19">
        <v>0.24929999999999999</v>
      </c>
      <c r="K61" s="28">
        <v>2.7E-2</v>
      </c>
      <c r="L61" s="17" t="s">
        <v>84</v>
      </c>
      <c r="M61" s="17" t="s">
        <v>27</v>
      </c>
      <c r="N61" s="17" t="s">
        <v>27</v>
      </c>
      <c r="O61" s="17" t="s">
        <v>28</v>
      </c>
      <c r="P61" s="29" t="s">
        <v>28</v>
      </c>
      <c r="Q61" s="17" t="s">
        <v>28</v>
      </c>
      <c r="R61" s="17" t="s">
        <v>28</v>
      </c>
      <c r="S61" s="17" t="s">
        <v>28</v>
      </c>
      <c r="U61" s="17" t="s">
        <v>28</v>
      </c>
      <c r="V61" s="17" t="s">
        <v>28</v>
      </c>
      <c r="W61" s="17" t="s">
        <v>77</v>
      </c>
      <c r="X61" s="17" t="s">
        <v>75</v>
      </c>
    </row>
    <row r="62" spans="1:24" x14ac:dyDescent="0.3">
      <c r="A62" s="15">
        <v>61</v>
      </c>
      <c r="B62" s="16" t="s">
        <v>211</v>
      </c>
      <c r="C62" s="16" t="s">
        <v>212</v>
      </c>
      <c r="D62" s="16" t="s">
        <v>213</v>
      </c>
      <c r="E62" s="35">
        <v>44425</v>
      </c>
      <c r="F62" s="17" t="s">
        <v>75</v>
      </c>
      <c r="G62" s="36">
        <f t="shared" si="0"/>
        <v>44044</v>
      </c>
      <c r="H62" s="18">
        <v>44050</v>
      </c>
      <c r="I62" s="19">
        <v>100</v>
      </c>
      <c r="J62" s="19">
        <v>1</v>
      </c>
      <c r="K62" s="28">
        <v>2.7E-2</v>
      </c>
      <c r="L62" s="17" t="s">
        <v>76</v>
      </c>
      <c r="M62" s="17" t="s">
        <v>27</v>
      </c>
      <c r="N62" s="17" t="s">
        <v>27</v>
      </c>
      <c r="O62" s="17" t="s">
        <v>28</v>
      </c>
      <c r="P62" s="29" t="s">
        <v>28</v>
      </c>
      <c r="Q62" s="17" t="s">
        <v>28</v>
      </c>
      <c r="R62" s="17" t="s">
        <v>28</v>
      </c>
      <c r="S62" s="17" t="s">
        <v>28</v>
      </c>
      <c r="U62" s="34">
        <v>2</v>
      </c>
      <c r="V62" s="17" t="s">
        <v>28</v>
      </c>
      <c r="W62" s="17" t="s">
        <v>77</v>
      </c>
      <c r="X62" s="17" t="s">
        <v>75</v>
      </c>
    </row>
    <row r="63" spans="1:24" x14ac:dyDescent="0.3">
      <c r="A63" s="15">
        <v>62</v>
      </c>
      <c r="B63" s="16" t="s">
        <v>214</v>
      </c>
      <c r="C63" s="16" t="s">
        <v>215</v>
      </c>
      <c r="D63" s="16" t="s">
        <v>216</v>
      </c>
      <c r="E63" s="35">
        <v>44193</v>
      </c>
      <c r="F63" s="17" t="s">
        <v>75</v>
      </c>
      <c r="G63" s="36">
        <f t="shared" si="0"/>
        <v>43983</v>
      </c>
      <c r="H63" s="18">
        <v>43999</v>
      </c>
      <c r="I63" s="19">
        <v>100</v>
      </c>
      <c r="J63" s="19">
        <v>0.49859999999999999</v>
      </c>
      <c r="K63" s="28">
        <v>2.2100000000000002E-2</v>
      </c>
      <c r="L63" s="17" t="s">
        <v>84</v>
      </c>
      <c r="M63" s="17" t="s">
        <v>27</v>
      </c>
      <c r="N63" s="17" t="s">
        <v>27</v>
      </c>
      <c r="O63" s="17" t="s">
        <v>28</v>
      </c>
      <c r="P63" s="29" t="s">
        <v>28</v>
      </c>
      <c r="Q63" s="17" t="s">
        <v>28</v>
      </c>
      <c r="R63" s="17" t="s">
        <v>28</v>
      </c>
      <c r="S63" s="17" t="s">
        <v>28</v>
      </c>
      <c r="U63" s="17" t="s">
        <v>28</v>
      </c>
      <c r="V63" s="17" t="s">
        <v>28</v>
      </c>
      <c r="W63" s="17" t="s">
        <v>77</v>
      </c>
      <c r="X63" s="17" t="s">
        <v>75</v>
      </c>
    </row>
    <row r="64" spans="1:24" x14ac:dyDescent="0.3">
      <c r="A64" s="15">
        <v>63</v>
      </c>
      <c r="B64" s="16" t="s">
        <v>217</v>
      </c>
      <c r="C64" s="16" t="s">
        <v>218</v>
      </c>
      <c r="D64" s="16" t="s">
        <v>219</v>
      </c>
      <c r="E64" s="35">
        <v>44060</v>
      </c>
      <c r="F64" s="12" t="s">
        <v>75</v>
      </c>
      <c r="G64" s="36">
        <f t="shared" si="0"/>
        <v>43952</v>
      </c>
      <c r="H64" s="13">
        <v>43959</v>
      </c>
      <c r="I64" s="14">
        <v>200</v>
      </c>
      <c r="J64" s="14">
        <v>0.24929999999999999</v>
      </c>
      <c r="K64" s="26">
        <v>1.77E-2</v>
      </c>
      <c r="L64" s="12" t="s">
        <v>84</v>
      </c>
      <c r="M64" s="12" t="s">
        <v>27</v>
      </c>
      <c r="N64" s="12" t="s">
        <v>27</v>
      </c>
      <c r="O64" s="12" t="s">
        <v>28</v>
      </c>
      <c r="P64" s="27" t="s">
        <v>28</v>
      </c>
      <c r="Q64" s="12" t="s">
        <v>28</v>
      </c>
      <c r="R64" s="12" t="s">
        <v>28</v>
      </c>
      <c r="S64" s="12" t="s">
        <v>28</v>
      </c>
      <c r="U64" s="12" t="s">
        <v>28</v>
      </c>
      <c r="V64" s="12" t="s">
        <v>28</v>
      </c>
      <c r="W64" s="12" t="s">
        <v>77</v>
      </c>
      <c r="X64" s="12" t="s">
        <v>75</v>
      </c>
    </row>
    <row r="65" spans="1:24" x14ac:dyDescent="0.3">
      <c r="A65" s="15">
        <v>64</v>
      </c>
      <c r="B65" s="16" t="s">
        <v>220</v>
      </c>
      <c r="C65" s="16" t="s">
        <v>221</v>
      </c>
      <c r="D65" s="16" t="s">
        <v>222</v>
      </c>
      <c r="E65" s="35">
        <v>44334</v>
      </c>
      <c r="F65" s="17" t="s">
        <v>75</v>
      </c>
      <c r="G65" s="36">
        <f t="shared" si="0"/>
        <v>43952</v>
      </c>
      <c r="H65" s="18">
        <v>43959</v>
      </c>
      <c r="I65" s="19">
        <v>100</v>
      </c>
      <c r="J65" s="19">
        <v>1</v>
      </c>
      <c r="K65" s="28">
        <v>1.78E-2</v>
      </c>
      <c r="L65" s="17" t="s">
        <v>76</v>
      </c>
      <c r="M65" s="17" t="s">
        <v>27</v>
      </c>
      <c r="N65" s="17" t="s">
        <v>27</v>
      </c>
      <c r="O65" s="17" t="s">
        <v>28</v>
      </c>
      <c r="P65" s="29" t="s">
        <v>28</v>
      </c>
      <c r="Q65" s="17" t="s">
        <v>28</v>
      </c>
      <c r="R65" s="17" t="s">
        <v>28</v>
      </c>
      <c r="S65" s="17" t="s">
        <v>28</v>
      </c>
      <c r="U65" s="34">
        <v>2</v>
      </c>
      <c r="V65" s="17" t="s">
        <v>28</v>
      </c>
      <c r="W65" s="17" t="s">
        <v>77</v>
      </c>
      <c r="X65" s="17" t="s">
        <v>75</v>
      </c>
    </row>
    <row r="66" spans="1:24" x14ac:dyDescent="0.3">
      <c r="A66" s="15">
        <v>65</v>
      </c>
      <c r="B66" s="16" t="s">
        <v>223</v>
      </c>
      <c r="C66" s="16" t="s">
        <v>224</v>
      </c>
      <c r="D66" s="16" t="s">
        <v>225</v>
      </c>
      <c r="E66" s="35">
        <v>44102</v>
      </c>
      <c r="F66" s="17" t="s">
        <v>75</v>
      </c>
      <c r="G66" s="36">
        <f t="shared" si="0"/>
        <v>43891</v>
      </c>
      <c r="H66" s="18">
        <v>43910</v>
      </c>
      <c r="I66" s="19">
        <v>100</v>
      </c>
      <c r="J66" s="19">
        <v>0.49859999999999999</v>
      </c>
      <c r="K66" s="28">
        <v>2.1899999999999999E-2</v>
      </c>
      <c r="L66" s="17" t="s">
        <v>84</v>
      </c>
      <c r="M66" s="17" t="s">
        <v>27</v>
      </c>
      <c r="N66" s="17" t="s">
        <v>27</v>
      </c>
      <c r="O66" s="17" t="s">
        <v>28</v>
      </c>
      <c r="P66" s="29" t="s">
        <v>28</v>
      </c>
      <c r="Q66" s="17" t="s">
        <v>28</v>
      </c>
      <c r="R66" s="17" t="s">
        <v>28</v>
      </c>
      <c r="S66" s="17" t="s">
        <v>28</v>
      </c>
      <c r="U66" s="17" t="s">
        <v>28</v>
      </c>
      <c r="V66" s="17" t="s">
        <v>28</v>
      </c>
      <c r="W66" s="17" t="s">
        <v>77</v>
      </c>
      <c r="X66" s="17" t="s">
        <v>75</v>
      </c>
    </row>
    <row r="67" spans="1:24" x14ac:dyDescent="0.3">
      <c r="A67" s="15">
        <v>66</v>
      </c>
      <c r="B67" s="16" t="s">
        <v>226</v>
      </c>
      <c r="C67" s="16" t="s">
        <v>227</v>
      </c>
      <c r="D67" s="16" t="s">
        <v>228</v>
      </c>
      <c r="E67" s="35">
        <v>43969</v>
      </c>
      <c r="F67" s="17" t="s">
        <v>75</v>
      </c>
      <c r="G67" s="36">
        <f t="shared" ref="G67:G82" si="1">DATE(YEAR(H67),MONTH(H67),1)</f>
        <v>43862</v>
      </c>
      <c r="H67" s="18">
        <v>43868</v>
      </c>
      <c r="I67" s="19">
        <v>200</v>
      </c>
      <c r="J67" s="19">
        <v>0.24929999999999999</v>
      </c>
      <c r="K67" s="28">
        <v>2.5499999999999998E-2</v>
      </c>
      <c r="L67" s="17" t="s">
        <v>84</v>
      </c>
      <c r="M67" s="17" t="s">
        <v>27</v>
      </c>
      <c r="N67" s="17" t="s">
        <v>27</v>
      </c>
      <c r="O67" s="17" t="s">
        <v>28</v>
      </c>
      <c r="P67" s="29" t="s">
        <v>28</v>
      </c>
      <c r="Q67" s="17" t="s">
        <v>28</v>
      </c>
      <c r="R67" s="17" t="s">
        <v>28</v>
      </c>
      <c r="S67" s="17" t="s">
        <v>28</v>
      </c>
      <c r="U67" s="17" t="s">
        <v>28</v>
      </c>
      <c r="V67" s="17" t="s">
        <v>28</v>
      </c>
      <c r="W67" s="17" t="s">
        <v>77</v>
      </c>
      <c r="X67" s="17" t="s">
        <v>75</v>
      </c>
    </row>
    <row r="68" spans="1:24" x14ac:dyDescent="0.3">
      <c r="A68" s="15">
        <v>67</v>
      </c>
      <c r="B68" s="16" t="s">
        <v>229</v>
      </c>
      <c r="C68" s="16" t="s">
        <v>230</v>
      </c>
      <c r="D68" s="16" t="s">
        <v>231</v>
      </c>
      <c r="E68" s="35">
        <v>44244</v>
      </c>
      <c r="F68" s="17" t="s">
        <v>75</v>
      </c>
      <c r="G68" s="36">
        <f t="shared" si="1"/>
        <v>43862</v>
      </c>
      <c r="H68" s="18">
        <v>43868</v>
      </c>
      <c r="I68" s="19">
        <v>100</v>
      </c>
      <c r="J68" s="19">
        <v>1</v>
      </c>
      <c r="K68" s="28">
        <v>2.5999999999999999E-2</v>
      </c>
      <c r="L68" s="17" t="s">
        <v>76</v>
      </c>
      <c r="M68" s="17" t="s">
        <v>27</v>
      </c>
      <c r="N68" s="17" t="s">
        <v>27</v>
      </c>
      <c r="O68" s="17" t="s">
        <v>28</v>
      </c>
      <c r="P68" s="29" t="s">
        <v>28</v>
      </c>
      <c r="Q68" s="17" t="s">
        <v>28</v>
      </c>
      <c r="R68" s="17" t="s">
        <v>28</v>
      </c>
      <c r="S68" s="17" t="s">
        <v>28</v>
      </c>
      <c r="U68" s="34">
        <v>2</v>
      </c>
      <c r="V68" s="17" t="s">
        <v>28</v>
      </c>
      <c r="W68" s="17" t="s">
        <v>77</v>
      </c>
      <c r="X68" s="17" t="s">
        <v>75</v>
      </c>
    </row>
    <row r="69" spans="1:24" x14ac:dyDescent="0.3">
      <c r="A69" s="15">
        <v>68</v>
      </c>
      <c r="B69" s="16" t="s">
        <v>232</v>
      </c>
      <c r="C69" s="16" t="s">
        <v>233</v>
      </c>
      <c r="D69" s="16" t="s">
        <v>234</v>
      </c>
      <c r="E69" s="35">
        <v>44008</v>
      </c>
      <c r="F69" s="17" t="s">
        <v>75</v>
      </c>
      <c r="G69" s="36">
        <f t="shared" si="1"/>
        <v>43800</v>
      </c>
      <c r="H69" s="18">
        <v>43815</v>
      </c>
      <c r="I69" s="19">
        <v>100</v>
      </c>
      <c r="J69" s="19">
        <v>0.49859999999999999</v>
      </c>
      <c r="K69" s="28">
        <v>2.9000000000000001E-2</v>
      </c>
      <c r="L69" s="17" t="s">
        <v>84</v>
      </c>
      <c r="M69" s="17" t="s">
        <v>27</v>
      </c>
      <c r="N69" s="17" t="s">
        <v>27</v>
      </c>
      <c r="O69" s="17" t="s">
        <v>28</v>
      </c>
      <c r="P69" s="29" t="s">
        <v>28</v>
      </c>
      <c r="Q69" s="17" t="s">
        <v>28</v>
      </c>
      <c r="R69" s="17" t="s">
        <v>28</v>
      </c>
      <c r="S69" s="17" t="s">
        <v>28</v>
      </c>
      <c r="U69" s="17" t="s">
        <v>28</v>
      </c>
      <c r="V69" s="17" t="s">
        <v>28</v>
      </c>
      <c r="W69" s="17" t="s">
        <v>77</v>
      </c>
      <c r="X69" s="17" t="s">
        <v>75</v>
      </c>
    </row>
    <row r="70" spans="1:24" x14ac:dyDescent="0.3">
      <c r="A70" s="15">
        <v>69</v>
      </c>
      <c r="B70" s="16" t="s">
        <v>235</v>
      </c>
      <c r="C70" s="16" t="s">
        <v>236</v>
      </c>
      <c r="D70" s="16" t="s">
        <v>237</v>
      </c>
      <c r="E70" s="35">
        <v>43871</v>
      </c>
      <c r="F70" s="17" t="s">
        <v>75</v>
      </c>
      <c r="G70" s="36">
        <f t="shared" si="1"/>
        <v>43770</v>
      </c>
      <c r="H70" s="18">
        <v>43770</v>
      </c>
      <c r="I70" s="19">
        <v>200</v>
      </c>
      <c r="J70" s="19">
        <v>0.24929999999999999</v>
      </c>
      <c r="K70" s="28">
        <v>2.9000000000000001E-2</v>
      </c>
      <c r="L70" s="17" t="s">
        <v>84</v>
      </c>
      <c r="M70" s="17" t="s">
        <v>27</v>
      </c>
      <c r="N70" s="17" t="s">
        <v>27</v>
      </c>
      <c r="O70" s="17" t="s">
        <v>28</v>
      </c>
      <c r="P70" s="29" t="s">
        <v>28</v>
      </c>
      <c r="Q70" s="17" t="s">
        <v>28</v>
      </c>
      <c r="R70" s="17" t="s">
        <v>28</v>
      </c>
      <c r="S70" s="17" t="s">
        <v>28</v>
      </c>
      <c r="U70" s="17" t="s">
        <v>28</v>
      </c>
      <c r="V70" s="17" t="s">
        <v>28</v>
      </c>
      <c r="W70" s="17" t="s">
        <v>77</v>
      </c>
      <c r="X70" s="17" t="s">
        <v>75</v>
      </c>
    </row>
    <row r="71" spans="1:24" x14ac:dyDescent="0.3">
      <c r="A71" s="15">
        <v>70</v>
      </c>
      <c r="B71" s="16" t="s">
        <v>238</v>
      </c>
      <c r="C71" s="16" t="s">
        <v>239</v>
      </c>
      <c r="D71" s="16" t="s">
        <v>240</v>
      </c>
      <c r="E71" s="35">
        <v>44146</v>
      </c>
      <c r="F71" s="17" t="s">
        <v>75</v>
      </c>
      <c r="G71" s="36">
        <f t="shared" si="1"/>
        <v>43770</v>
      </c>
      <c r="H71" s="18">
        <v>43770</v>
      </c>
      <c r="I71" s="19">
        <v>100</v>
      </c>
      <c r="J71" s="19">
        <v>1</v>
      </c>
      <c r="K71" s="28">
        <v>2.9000000000000001E-2</v>
      </c>
      <c r="L71" s="17" t="s">
        <v>76</v>
      </c>
      <c r="M71" s="17" t="s">
        <v>27</v>
      </c>
      <c r="N71" s="17" t="s">
        <v>27</v>
      </c>
      <c r="O71" s="17" t="s">
        <v>28</v>
      </c>
      <c r="P71" s="29" t="s">
        <v>28</v>
      </c>
      <c r="Q71" s="17" t="s">
        <v>28</v>
      </c>
      <c r="R71" s="17" t="s">
        <v>28</v>
      </c>
      <c r="S71" s="17" t="s">
        <v>28</v>
      </c>
      <c r="U71" s="34">
        <v>2</v>
      </c>
      <c r="V71" s="17" t="s">
        <v>28</v>
      </c>
      <c r="W71" s="17" t="s">
        <v>77</v>
      </c>
      <c r="X71" s="17" t="s">
        <v>75</v>
      </c>
    </row>
    <row r="72" spans="1:24" x14ac:dyDescent="0.3">
      <c r="A72" s="15">
        <v>71</v>
      </c>
      <c r="B72" s="16" t="s">
        <v>241</v>
      </c>
      <c r="C72" s="16" t="s">
        <v>242</v>
      </c>
      <c r="D72" s="16" t="s">
        <v>243</v>
      </c>
      <c r="E72" s="35">
        <v>43920</v>
      </c>
      <c r="F72" s="17" t="s">
        <v>75</v>
      </c>
      <c r="G72" s="36">
        <f t="shared" si="1"/>
        <v>43709</v>
      </c>
      <c r="H72" s="18">
        <v>43728</v>
      </c>
      <c r="I72" s="19">
        <v>100</v>
      </c>
      <c r="J72" s="19">
        <v>0.49859999999999999</v>
      </c>
      <c r="K72" s="28">
        <v>2.8899999999999999E-2</v>
      </c>
      <c r="L72" s="17" t="s">
        <v>84</v>
      </c>
      <c r="M72" s="17" t="s">
        <v>27</v>
      </c>
      <c r="N72" s="17" t="s">
        <v>27</v>
      </c>
      <c r="O72" s="17" t="s">
        <v>28</v>
      </c>
      <c r="P72" s="29" t="s">
        <v>28</v>
      </c>
      <c r="Q72" s="17" t="s">
        <v>28</v>
      </c>
      <c r="R72" s="17" t="s">
        <v>28</v>
      </c>
      <c r="S72" s="17" t="s">
        <v>28</v>
      </c>
      <c r="U72" s="17" t="s">
        <v>28</v>
      </c>
      <c r="V72" s="17" t="s">
        <v>28</v>
      </c>
      <c r="W72" s="17" t="s">
        <v>77</v>
      </c>
      <c r="X72" s="17" t="s">
        <v>75</v>
      </c>
    </row>
    <row r="73" spans="1:24" x14ac:dyDescent="0.3">
      <c r="A73" s="15">
        <v>72</v>
      </c>
      <c r="B73" s="16" t="s">
        <v>244</v>
      </c>
      <c r="C73" s="16" t="s">
        <v>245</v>
      </c>
      <c r="D73" s="16" t="s">
        <v>246</v>
      </c>
      <c r="E73" s="35">
        <v>43784</v>
      </c>
      <c r="F73" s="17" t="s">
        <v>75</v>
      </c>
      <c r="G73" s="36">
        <f t="shared" si="1"/>
        <v>43678</v>
      </c>
      <c r="H73" s="18">
        <v>43683</v>
      </c>
      <c r="I73" s="19">
        <v>200</v>
      </c>
      <c r="J73" s="19">
        <v>0.24929999999999999</v>
      </c>
      <c r="K73" s="28">
        <v>2.9000000000000001E-2</v>
      </c>
      <c r="L73" s="17" t="s">
        <v>84</v>
      </c>
      <c r="M73" s="17" t="s">
        <v>27</v>
      </c>
      <c r="N73" s="17" t="s">
        <v>27</v>
      </c>
      <c r="O73" s="17" t="s">
        <v>28</v>
      </c>
      <c r="P73" s="29" t="s">
        <v>28</v>
      </c>
      <c r="Q73" s="17" t="s">
        <v>28</v>
      </c>
      <c r="R73" s="17" t="s">
        <v>28</v>
      </c>
      <c r="S73" s="17" t="s">
        <v>28</v>
      </c>
      <c r="U73" s="17" t="s">
        <v>28</v>
      </c>
      <c r="V73" s="17" t="s">
        <v>28</v>
      </c>
      <c r="W73" s="17" t="s">
        <v>77</v>
      </c>
      <c r="X73" s="17" t="s">
        <v>75</v>
      </c>
    </row>
    <row r="74" spans="1:24" x14ac:dyDescent="0.3">
      <c r="A74" s="15">
        <v>73</v>
      </c>
      <c r="B74" s="16" t="s">
        <v>247</v>
      </c>
      <c r="C74" s="16" t="s">
        <v>248</v>
      </c>
      <c r="D74" s="16" t="s">
        <v>249</v>
      </c>
      <c r="E74" s="35">
        <v>44059</v>
      </c>
      <c r="F74" s="17" t="s">
        <v>75</v>
      </c>
      <c r="G74" s="36">
        <f t="shared" si="1"/>
        <v>43678</v>
      </c>
      <c r="H74" s="18">
        <v>43683</v>
      </c>
      <c r="I74" s="19">
        <v>100</v>
      </c>
      <c r="J74" s="19">
        <v>1</v>
      </c>
      <c r="K74" s="28">
        <v>2.9499999999999998E-2</v>
      </c>
      <c r="L74" s="17" t="s">
        <v>76</v>
      </c>
      <c r="M74" s="17" t="s">
        <v>27</v>
      </c>
      <c r="N74" s="17" t="s">
        <v>27</v>
      </c>
      <c r="O74" s="17" t="s">
        <v>28</v>
      </c>
      <c r="P74" s="29" t="s">
        <v>28</v>
      </c>
      <c r="Q74" s="17" t="s">
        <v>28</v>
      </c>
      <c r="R74" s="17" t="s">
        <v>28</v>
      </c>
      <c r="S74" s="17" t="s">
        <v>28</v>
      </c>
      <c r="U74" s="34">
        <v>2</v>
      </c>
      <c r="V74" s="17" t="s">
        <v>28</v>
      </c>
      <c r="W74" s="17" t="s">
        <v>77</v>
      </c>
      <c r="X74" s="17" t="s">
        <v>75</v>
      </c>
    </row>
    <row r="75" spans="1:24" x14ac:dyDescent="0.3">
      <c r="A75" s="15">
        <v>74</v>
      </c>
      <c r="B75" s="16" t="s">
        <v>250</v>
      </c>
      <c r="C75" s="16" t="s">
        <v>251</v>
      </c>
      <c r="D75" s="16" t="s">
        <v>252</v>
      </c>
      <c r="E75" s="35">
        <v>43672</v>
      </c>
      <c r="F75" s="17" t="s">
        <v>75</v>
      </c>
      <c r="G75" s="36">
        <f t="shared" si="1"/>
        <v>43617</v>
      </c>
      <c r="H75" s="18">
        <v>43636</v>
      </c>
      <c r="I75" s="19">
        <v>200</v>
      </c>
      <c r="J75" s="19">
        <v>7.6700000000000004E-2</v>
      </c>
      <c r="K75" s="28">
        <v>2.8000000000000001E-2</v>
      </c>
      <c r="L75" s="17" t="s">
        <v>84</v>
      </c>
      <c r="M75" s="17" t="s">
        <v>27</v>
      </c>
      <c r="N75" s="17" t="s">
        <v>27</v>
      </c>
      <c r="O75" s="17" t="s">
        <v>28</v>
      </c>
      <c r="P75" s="29" t="s">
        <v>28</v>
      </c>
      <c r="Q75" s="17" t="s">
        <v>28</v>
      </c>
      <c r="R75" s="17" t="s">
        <v>28</v>
      </c>
      <c r="S75" s="17" t="s">
        <v>28</v>
      </c>
      <c r="U75" s="17" t="s">
        <v>28</v>
      </c>
      <c r="V75" s="17" t="s">
        <v>28</v>
      </c>
      <c r="W75" s="17" t="s">
        <v>77</v>
      </c>
      <c r="X75" s="17" t="s">
        <v>75</v>
      </c>
    </row>
    <row r="76" spans="1:24" x14ac:dyDescent="0.3">
      <c r="A76" s="20">
        <v>75</v>
      </c>
      <c r="B76" s="21" t="s">
        <v>253</v>
      </c>
      <c r="C76" s="21" t="s">
        <v>254</v>
      </c>
      <c r="D76" s="21" t="s">
        <v>255</v>
      </c>
      <c r="E76" s="35">
        <v>43826</v>
      </c>
      <c r="F76" s="17" t="s">
        <v>75</v>
      </c>
      <c r="G76" s="36">
        <f t="shared" si="1"/>
        <v>43617</v>
      </c>
      <c r="H76" s="18">
        <v>43636</v>
      </c>
      <c r="I76" s="19">
        <v>100</v>
      </c>
      <c r="J76" s="19">
        <v>0.49859999999999999</v>
      </c>
      <c r="K76" s="28">
        <v>2.8199999999999999E-2</v>
      </c>
      <c r="L76" s="17" t="s">
        <v>84</v>
      </c>
      <c r="M76" s="17" t="s">
        <v>27</v>
      </c>
      <c r="N76" s="17" t="s">
        <v>27</v>
      </c>
      <c r="O76" s="17" t="s">
        <v>28</v>
      </c>
      <c r="P76" s="29" t="s">
        <v>28</v>
      </c>
      <c r="Q76" s="17" t="s">
        <v>28</v>
      </c>
      <c r="R76" s="17" t="s">
        <v>28</v>
      </c>
      <c r="S76" s="17" t="s">
        <v>28</v>
      </c>
      <c r="U76" s="17" t="s">
        <v>28</v>
      </c>
      <c r="V76" s="17" t="s">
        <v>28</v>
      </c>
      <c r="W76" s="17" t="s">
        <v>77</v>
      </c>
      <c r="X76" s="17" t="s">
        <v>75</v>
      </c>
    </row>
    <row r="77" spans="1:24" x14ac:dyDescent="0.3">
      <c r="A77" s="15">
        <v>76</v>
      </c>
      <c r="B77" s="16" t="s">
        <v>256</v>
      </c>
      <c r="C77" s="16" t="s">
        <v>257</v>
      </c>
      <c r="D77" s="16" t="s">
        <v>258</v>
      </c>
      <c r="E77" s="35">
        <v>43693</v>
      </c>
      <c r="F77" s="17" t="s">
        <v>75</v>
      </c>
      <c r="G77" s="36">
        <f t="shared" si="1"/>
        <v>43586</v>
      </c>
      <c r="H77" s="18">
        <v>43592</v>
      </c>
      <c r="I77" s="19">
        <v>100</v>
      </c>
      <c r="J77" s="19">
        <v>0.24929999999999999</v>
      </c>
      <c r="K77" s="30">
        <v>0.03</v>
      </c>
      <c r="L77" s="17" t="s">
        <v>84</v>
      </c>
      <c r="M77" s="17" t="s">
        <v>27</v>
      </c>
      <c r="N77" s="17" t="s">
        <v>27</v>
      </c>
      <c r="O77" s="17" t="s">
        <v>28</v>
      </c>
      <c r="P77" s="29" t="s">
        <v>28</v>
      </c>
      <c r="Q77" s="17" t="s">
        <v>28</v>
      </c>
      <c r="R77" s="17" t="s">
        <v>28</v>
      </c>
      <c r="S77" s="17" t="s">
        <v>28</v>
      </c>
      <c r="U77" s="17" t="s">
        <v>28</v>
      </c>
      <c r="V77" s="17" t="s">
        <v>28</v>
      </c>
      <c r="W77" s="17" t="s">
        <v>77</v>
      </c>
      <c r="X77" s="17" t="s">
        <v>75</v>
      </c>
    </row>
    <row r="78" spans="1:24" x14ac:dyDescent="0.3">
      <c r="A78" s="15">
        <v>77</v>
      </c>
      <c r="B78" s="16" t="s">
        <v>259</v>
      </c>
      <c r="C78" s="16" t="s">
        <v>260</v>
      </c>
      <c r="D78" s="16" t="s">
        <v>261</v>
      </c>
      <c r="E78" s="35">
        <v>43968</v>
      </c>
      <c r="F78" s="17" t="s">
        <v>75</v>
      </c>
      <c r="G78" s="36">
        <f t="shared" si="1"/>
        <v>43586</v>
      </c>
      <c r="H78" s="18">
        <v>43592</v>
      </c>
      <c r="I78" s="19">
        <v>100</v>
      </c>
      <c r="J78" s="19">
        <v>1</v>
      </c>
      <c r="K78" s="28">
        <v>3.1E-2</v>
      </c>
      <c r="L78" s="17" t="s">
        <v>76</v>
      </c>
      <c r="M78" s="17" t="s">
        <v>27</v>
      </c>
      <c r="N78" s="17" t="s">
        <v>27</v>
      </c>
      <c r="O78" s="17" t="s">
        <v>28</v>
      </c>
      <c r="P78" s="29" t="s">
        <v>28</v>
      </c>
      <c r="Q78" s="17" t="s">
        <v>28</v>
      </c>
      <c r="R78" s="17" t="s">
        <v>28</v>
      </c>
      <c r="S78" s="17" t="s">
        <v>28</v>
      </c>
      <c r="U78" s="34">
        <v>2</v>
      </c>
      <c r="V78" s="17" t="s">
        <v>28</v>
      </c>
      <c r="W78" s="17" t="s">
        <v>77</v>
      </c>
      <c r="X78" s="17" t="s">
        <v>75</v>
      </c>
    </row>
    <row r="79" spans="1:24" x14ac:dyDescent="0.3">
      <c r="A79" s="15">
        <v>78</v>
      </c>
      <c r="B79" s="16" t="s">
        <v>262</v>
      </c>
      <c r="C79" s="16" t="s">
        <v>263</v>
      </c>
      <c r="D79" s="16" t="s">
        <v>264</v>
      </c>
      <c r="E79" s="35">
        <v>43602</v>
      </c>
      <c r="F79" s="17" t="s">
        <v>75</v>
      </c>
      <c r="G79" s="36">
        <v>43497</v>
      </c>
      <c r="H79" s="18">
        <v>43495</v>
      </c>
      <c r="I79" s="19">
        <v>100</v>
      </c>
      <c r="J79" s="19">
        <v>0.24929999999999999</v>
      </c>
      <c r="K79" s="28">
        <v>2.4500000000000001E-2</v>
      </c>
      <c r="L79" s="17" t="s">
        <v>84</v>
      </c>
      <c r="M79" s="17" t="s">
        <v>27</v>
      </c>
      <c r="N79" s="17" t="s">
        <v>27</v>
      </c>
      <c r="O79" s="17" t="s">
        <v>28</v>
      </c>
      <c r="P79" s="29" t="s">
        <v>28</v>
      </c>
      <c r="Q79" s="17" t="s">
        <v>28</v>
      </c>
      <c r="R79" s="17" t="s">
        <v>28</v>
      </c>
      <c r="S79" s="17" t="s">
        <v>28</v>
      </c>
      <c r="U79" s="17" t="s">
        <v>28</v>
      </c>
      <c r="V79" s="17" t="s">
        <v>28</v>
      </c>
      <c r="W79" s="17" t="s">
        <v>77</v>
      </c>
      <c r="X79" s="17" t="s">
        <v>75</v>
      </c>
    </row>
    <row r="80" spans="1:24" x14ac:dyDescent="0.3">
      <c r="A80" s="15">
        <v>79</v>
      </c>
      <c r="B80" s="16" t="s">
        <v>265</v>
      </c>
      <c r="C80" s="16" t="s">
        <v>266</v>
      </c>
      <c r="D80" s="16" t="s">
        <v>267</v>
      </c>
      <c r="E80" s="35">
        <v>43876</v>
      </c>
      <c r="F80" s="12" t="s">
        <v>75</v>
      </c>
      <c r="G80" s="36">
        <v>43497</v>
      </c>
      <c r="H80" s="13">
        <v>43495</v>
      </c>
      <c r="I80" s="14">
        <v>100</v>
      </c>
      <c r="J80" s="14">
        <v>1</v>
      </c>
      <c r="K80" s="26">
        <v>2.8000000000000001E-2</v>
      </c>
      <c r="L80" s="12" t="s">
        <v>76</v>
      </c>
      <c r="M80" s="12" t="s">
        <v>27</v>
      </c>
      <c r="N80" s="12" t="s">
        <v>27</v>
      </c>
      <c r="O80" s="12" t="s">
        <v>28</v>
      </c>
      <c r="P80" s="27" t="s">
        <v>28</v>
      </c>
      <c r="Q80" s="12" t="s">
        <v>28</v>
      </c>
      <c r="R80" s="12" t="s">
        <v>28</v>
      </c>
      <c r="S80" s="12" t="s">
        <v>28</v>
      </c>
      <c r="U80" s="33">
        <v>2</v>
      </c>
      <c r="V80" s="12" t="s">
        <v>28</v>
      </c>
      <c r="W80" s="12" t="s">
        <v>77</v>
      </c>
      <c r="X80" s="12" t="s">
        <v>75</v>
      </c>
    </row>
    <row r="81" spans="1:24" x14ac:dyDescent="0.3">
      <c r="A81" s="15">
        <v>80</v>
      </c>
      <c r="B81" s="16" t="s">
        <v>268</v>
      </c>
      <c r="C81" s="16" t="s">
        <v>269</v>
      </c>
      <c r="D81" s="16" t="s">
        <v>270</v>
      </c>
      <c r="E81" s="35">
        <v>43504</v>
      </c>
      <c r="F81" s="17" t="s">
        <v>75</v>
      </c>
      <c r="G81" s="36">
        <v>43405</v>
      </c>
      <c r="H81" s="18">
        <v>43404</v>
      </c>
      <c r="I81" s="19">
        <v>100</v>
      </c>
      <c r="J81" s="19">
        <v>0.24929999999999999</v>
      </c>
      <c r="K81" s="28">
        <v>3.7900000000000003E-2</v>
      </c>
      <c r="L81" s="17" t="s">
        <v>76</v>
      </c>
      <c r="M81" s="17" t="s">
        <v>27</v>
      </c>
      <c r="N81" s="17" t="s">
        <v>27</v>
      </c>
      <c r="O81" s="17" t="s">
        <v>28</v>
      </c>
      <c r="P81" s="29" t="s">
        <v>28</v>
      </c>
      <c r="Q81" s="17" t="s">
        <v>28</v>
      </c>
      <c r="R81" s="17" t="s">
        <v>28</v>
      </c>
      <c r="S81" s="17" t="s">
        <v>28</v>
      </c>
      <c r="U81" s="34">
        <v>2</v>
      </c>
      <c r="V81" s="17" t="s">
        <v>28</v>
      </c>
      <c r="W81" s="17" t="s">
        <v>77</v>
      </c>
      <c r="X81" s="17" t="s">
        <v>75</v>
      </c>
    </row>
    <row r="82" spans="1:24" x14ac:dyDescent="0.3">
      <c r="A82" s="20">
        <v>81</v>
      </c>
      <c r="B82" s="21" t="s">
        <v>271</v>
      </c>
      <c r="C82" s="21" t="s">
        <v>272</v>
      </c>
      <c r="D82" s="21" t="s">
        <v>273</v>
      </c>
      <c r="E82" s="35">
        <v>43778</v>
      </c>
      <c r="F82" s="12" t="s">
        <v>75</v>
      </c>
      <c r="G82" s="36">
        <v>43405</v>
      </c>
      <c r="H82" s="13">
        <v>43404</v>
      </c>
      <c r="I82" s="14">
        <v>100</v>
      </c>
      <c r="J82" s="14">
        <v>1</v>
      </c>
      <c r="K82" s="26">
        <v>4.2000000000000003E-2</v>
      </c>
      <c r="L82" s="12" t="s">
        <v>76</v>
      </c>
      <c r="M82" s="12" t="s">
        <v>27</v>
      </c>
      <c r="N82" s="12" t="s">
        <v>27</v>
      </c>
      <c r="O82" s="12" t="s">
        <v>28</v>
      </c>
      <c r="P82" s="27" t="s">
        <v>28</v>
      </c>
      <c r="Q82" s="12" t="s">
        <v>28</v>
      </c>
      <c r="R82" s="12" t="s">
        <v>28</v>
      </c>
      <c r="S82" s="12" t="s">
        <v>28</v>
      </c>
      <c r="U82" s="33">
        <v>2</v>
      </c>
      <c r="V82" s="12" t="s">
        <v>28</v>
      </c>
      <c r="W82" s="12" t="s">
        <v>77</v>
      </c>
      <c r="X82" s="12" t="s">
        <v>75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8EB7-F72E-4BE9-AC14-B90C2CD66C27}">
  <dimension ref="A1:K109"/>
  <sheetViews>
    <sheetView tabSelected="1" workbookViewId="0">
      <selection activeCell="C20" sqref="C20"/>
    </sheetView>
  </sheetViews>
  <sheetFormatPr defaultRowHeight="13.5" x14ac:dyDescent="0.3"/>
  <cols>
    <col min="1" max="1" width="10.06640625" bestFit="1" customWidth="1"/>
    <col min="2" max="2" width="26.265625" bestFit="1" customWidth="1"/>
    <col min="3" max="3" width="26.265625" customWidth="1"/>
    <col min="4" max="4" width="10.06640625" bestFit="1" customWidth="1"/>
    <col min="9" max="9" width="10.06640625" bestFit="1" customWidth="1"/>
    <col min="10" max="11" width="23.06640625" style="44" bestFit="1" customWidth="1"/>
  </cols>
  <sheetData>
    <row r="1" spans="1:11" x14ac:dyDescent="0.3">
      <c r="A1" s="45" t="s">
        <v>276</v>
      </c>
      <c r="B1" s="45" t="s">
        <v>296</v>
      </c>
      <c r="C1" s="45"/>
      <c r="D1" s="47" t="s">
        <v>300</v>
      </c>
      <c r="E1" t="s">
        <v>288</v>
      </c>
      <c r="J1" s="45" t="s">
        <v>301</v>
      </c>
      <c r="K1" s="45" t="s">
        <v>302</v>
      </c>
    </row>
    <row r="2" spans="1:11" x14ac:dyDescent="0.3">
      <c r="A2" s="46">
        <v>43405</v>
      </c>
      <c r="B2" s="44">
        <v>200</v>
      </c>
      <c r="C2" s="44"/>
      <c r="D2" s="46">
        <v>43497</v>
      </c>
      <c r="E2">
        <v>100</v>
      </c>
      <c r="I2" s="46">
        <v>43101</v>
      </c>
      <c r="J2" s="44">
        <v>0</v>
      </c>
      <c r="K2" s="44">
        <v>0</v>
      </c>
    </row>
    <row r="3" spans="1:11" x14ac:dyDescent="0.3">
      <c r="A3" s="46">
        <v>43497</v>
      </c>
      <c r="B3" s="44">
        <v>200</v>
      </c>
      <c r="C3" s="44"/>
      <c r="D3" s="46">
        <v>43586</v>
      </c>
      <c r="E3">
        <v>100</v>
      </c>
      <c r="I3" s="46">
        <v>43132</v>
      </c>
      <c r="J3" s="44">
        <v>0</v>
      </c>
      <c r="K3" s="44">
        <v>0</v>
      </c>
    </row>
    <row r="4" spans="1:11" x14ac:dyDescent="0.3">
      <c r="A4" s="46">
        <v>43586</v>
      </c>
      <c r="B4" s="44">
        <v>200</v>
      </c>
      <c r="C4" s="44"/>
      <c r="D4" s="46">
        <v>43647</v>
      </c>
      <c r="E4">
        <v>200</v>
      </c>
      <c r="I4" s="46">
        <v>43160</v>
      </c>
      <c r="J4" s="44">
        <v>0</v>
      </c>
      <c r="K4" s="44">
        <v>0</v>
      </c>
    </row>
    <row r="5" spans="1:11" x14ac:dyDescent="0.3">
      <c r="A5" s="46">
        <v>43617</v>
      </c>
      <c r="B5" s="44">
        <v>300</v>
      </c>
      <c r="C5" s="44"/>
      <c r="D5" s="46">
        <v>43678</v>
      </c>
      <c r="E5">
        <v>100</v>
      </c>
      <c r="I5" s="46">
        <v>43191</v>
      </c>
      <c r="J5" s="44">
        <v>0</v>
      </c>
      <c r="K5" s="44">
        <v>0</v>
      </c>
    </row>
    <row r="6" spans="1:11" x14ac:dyDescent="0.3">
      <c r="A6" s="46">
        <v>43678</v>
      </c>
      <c r="B6" s="44">
        <v>300</v>
      </c>
      <c r="C6" s="44"/>
      <c r="D6" s="46">
        <v>43770</v>
      </c>
      <c r="E6">
        <v>300</v>
      </c>
      <c r="I6" s="46">
        <v>43221</v>
      </c>
      <c r="J6" s="44">
        <v>0</v>
      </c>
      <c r="K6" s="44">
        <v>0</v>
      </c>
    </row>
    <row r="7" spans="1:11" x14ac:dyDescent="0.3">
      <c r="A7" s="46">
        <v>43709</v>
      </c>
      <c r="B7" s="44">
        <v>100</v>
      </c>
      <c r="C7" s="44"/>
      <c r="D7" s="46">
        <v>43800</v>
      </c>
      <c r="E7">
        <v>100</v>
      </c>
      <c r="I7" s="46">
        <v>43252</v>
      </c>
      <c r="J7" s="44">
        <v>0</v>
      </c>
      <c r="K7" s="44">
        <v>0</v>
      </c>
    </row>
    <row r="8" spans="1:11" x14ac:dyDescent="0.3">
      <c r="A8" s="46">
        <v>43770</v>
      </c>
      <c r="B8" s="44">
        <v>300</v>
      </c>
      <c r="C8" s="44"/>
      <c r="D8" s="46">
        <v>43862</v>
      </c>
      <c r="E8">
        <v>300</v>
      </c>
      <c r="I8" s="46">
        <v>43282</v>
      </c>
      <c r="J8" s="44">
        <v>0</v>
      </c>
      <c r="K8" s="44">
        <v>0</v>
      </c>
    </row>
    <row r="9" spans="1:11" x14ac:dyDescent="0.3">
      <c r="A9" s="46">
        <v>43800</v>
      </c>
      <c r="B9" s="44">
        <v>100</v>
      </c>
      <c r="C9" s="44"/>
      <c r="D9" s="46">
        <v>43891</v>
      </c>
      <c r="E9">
        <v>100</v>
      </c>
      <c r="I9" s="46">
        <v>43313</v>
      </c>
      <c r="J9" s="44">
        <v>0</v>
      </c>
      <c r="K9" s="44">
        <v>0</v>
      </c>
    </row>
    <row r="10" spans="1:11" x14ac:dyDescent="0.3">
      <c r="A10" s="46">
        <v>43862</v>
      </c>
      <c r="B10" s="44">
        <v>300</v>
      </c>
      <c r="C10" s="44"/>
      <c r="D10" s="46">
        <v>43952</v>
      </c>
      <c r="E10">
        <v>300</v>
      </c>
      <c r="I10" s="46">
        <v>43344</v>
      </c>
      <c r="J10" s="44">
        <v>0</v>
      </c>
      <c r="K10" s="44">
        <v>0</v>
      </c>
    </row>
    <row r="11" spans="1:11" x14ac:dyDescent="0.3">
      <c r="A11" s="46">
        <v>43891</v>
      </c>
      <c r="B11" s="44">
        <v>100</v>
      </c>
      <c r="C11" s="44"/>
      <c r="D11" s="46">
        <v>43983</v>
      </c>
      <c r="E11">
        <v>100</v>
      </c>
      <c r="I11" s="46">
        <v>43374</v>
      </c>
      <c r="J11" s="44">
        <v>0</v>
      </c>
      <c r="K11" s="44">
        <v>0</v>
      </c>
    </row>
    <row r="12" spans="1:11" x14ac:dyDescent="0.3">
      <c r="A12" s="46">
        <v>43952</v>
      </c>
      <c r="B12" s="44">
        <v>300</v>
      </c>
      <c r="C12" s="44"/>
      <c r="D12" s="46">
        <v>44044</v>
      </c>
      <c r="E12">
        <v>300</v>
      </c>
      <c r="I12" s="46">
        <v>43405</v>
      </c>
      <c r="J12" s="44">
        <v>200</v>
      </c>
      <c r="K12" s="44">
        <v>0</v>
      </c>
    </row>
    <row r="13" spans="1:11" x14ac:dyDescent="0.3">
      <c r="A13" s="46">
        <v>43983</v>
      </c>
      <c r="B13" s="44">
        <v>100</v>
      </c>
      <c r="C13" s="44"/>
      <c r="D13" s="46">
        <v>44075</v>
      </c>
      <c r="E13">
        <v>100</v>
      </c>
      <c r="I13" s="46">
        <v>43435</v>
      </c>
      <c r="J13" s="44">
        <v>0</v>
      </c>
      <c r="K13" s="44">
        <v>0</v>
      </c>
    </row>
    <row r="14" spans="1:11" x14ac:dyDescent="0.3">
      <c r="A14" s="46">
        <v>44044</v>
      </c>
      <c r="B14" s="44">
        <v>300</v>
      </c>
      <c r="C14" s="44"/>
      <c r="D14" s="46">
        <v>44136</v>
      </c>
      <c r="E14">
        <v>300</v>
      </c>
      <c r="I14" s="46">
        <v>43466</v>
      </c>
      <c r="J14" s="44">
        <v>0</v>
      </c>
      <c r="K14" s="44">
        <v>0</v>
      </c>
    </row>
    <row r="15" spans="1:11" x14ac:dyDescent="0.3">
      <c r="A15" s="46">
        <v>44075</v>
      </c>
      <c r="B15" s="44">
        <v>100</v>
      </c>
      <c r="C15" s="44"/>
      <c r="D15" s="46">
        <v>44166</v>
      </c>
      <c r="E15">
        <v>100</v>
      </c>
      <c r="I15" s="46">
        <v>43497</v>
      </c>
      <c r="J15" s="44">
        <v>200</v>
      </c>
      <c r="K15" s="44">
        <v>100</v>
      </c>
    </row>
    <row r="16" spans="1:11" x14ac:dyDescent="0.3">
      <c r="A16" s="46">
        <v>44136</v>
      </c>
      <c r="B16" s="44">
        <v>250</v>
      </c>
      <c r="C16" s="44"/>
      <c r="D16" s="46">
        <v>44228</v>
      </c>
      <c r="E16">
        <v>200</v>
      </c>
      <c r="I16" s="46">
        <v>43525</v>
      </c>
      <c r="J16" s="44">
        <v>0</v>
      </c>
      <c r="K16" s="44">
        <v>0</v>
      </c>
    </row>
    <row r="17" spans="1:11" x14ac:dyDescent="0.3">
      <c r="A17" s="46">
        <v>44166</v>
      </c>
      <c r="B17" s="44">
        <v>100</v>
      </c>
      <c r="C17" s="44"/>
      <c r="D17" s="46">
        <v>44256</v>
      </c>
      <c r="E17">
        <v>100</v>
      </c>
      <c r="I17" s="46">
        <v>43556</v>
      </c>
      <c r="J17" s="44">
        <v>0</v>
      </c>
      <c r="K17" s="44">
        <v>0</v>
      </c>
    </row>
    <row r="18" spans="1:11" x14ac:dyDescent="0.3">
      <c r="A18" s="46">
        <v>44228</v>
      </c>
      <c r="B18" s="44">
        <v>250</v>
      </c>
      <c r="C18" s="44"/>
      <c r="D18" s="46">
        <v>44317</v>
      </c>
      <c r="E18">
        <v>200</v>
      </c>
      <c r="I18" s="46">
        <v>43586</v>
      </c>
      <c r="J18" s="44">
        <v>200</v>
      </c>
      <c r="K18" s="44">
        <v>100</v>
      </c>
    </row>
    <row r="19" spans="1:11" x14ac:dyDescent="0.3">
      <c r="A19" s="46">
        <v>44256</v>
      </c>
      <c r="B19" s="44">
        <v>50</v>
      </c>
      <c r="C19" s="44"/>
      <c r="D19" s="46">
        <v>44348</v>
      </c>
      <c r="E19">
        <v>100</v>
      </c>
      <c r="I19" s="46">
        <v>43617</v>
      </c>
      <c r="J19" s="44">
        <v>300</v>
      </c>
      <c r="K19" s="44">
        <v>0</v>
      </c>
    </row>
    <row r="20" spans="1:11" x14ac:dyDescent="0.3">
      <c r="A20" s="46">
        <v>44317</v>
      </c>
      <c r="B20" s="44">
        <v>250</v>
      </c>
      <c r="C20" s="44"/>
      <c r="D20" s="46">
        <v>44409</v>
      </c>
      <c r="E20">
        <v>200</v>
      </c>
      <c r="I20" s="46">
        <v>43647</v>
      </c>
      <c r="J20" s="44">
        <v>0</v>
      </c>
      <c r="K20" s="44">
        <v>200</v>
      </c>
    </row>
    <row r="21" spans="1:11" x14ac:dyDescent="0.3">
      <c r="A21" s="46">
        <v>44348</v>
      </c>
      <c r="B21" s="44">
        <v>50</v>
      </c>
      <c r="C21" s="44"/>
      <c r="D21" s="46">
        <v>44440</v>
      </c>
      <c r="E21">
        <v>50</v>
      </c>
      <c r="I21" s="46">
        <v>43678</v>
      </c>
      <c r="J21" s="44">
        <v>300</v>
      </c>
      <c r="K21" s="44">
        <v>100</v>
      </c>
    </row>
    <row r="22" spans="1:11" x14ac:dyDescent="0.3">
      <c r="A22" s="46">
        <v>44409</v>
      </c>
      <c r="B22" s="44">
        <v>250</v>
      </c>
      <c r="C22" s="44"/>
      <c r="D22" s="46">
        <v>44501</v>
      </c>
      <c r="E22">
        <v>250</v>
      </c>
      <c r="I22" s="46">
        <v>43709</v>
      </c>
      <c r="J22" s="44">
        <v>100</v>
      </c>
      <c r="K22" s="44">
        <v>0</v>
      </c>
    </row>
    <row r="23" spans="1:11" x14ac:dyDescent="0.3">
      <c r="A23" s="46">
        <v>44440</v>
      </c>
      <c r="B23" s="44">
        <v>50</v>
      </c>
      <c r="C23" s="44"/>
      <c r="D23" s="46">
        <v>44531</v>
      </c>
      <c r="E23">
        <v>50</v>
      </c>
      <c r="I23" s="46">
        <v>43739</v>
      </c>
      <c r="J23" s="44">
        <v>0</v>
      </c>
      <c r="K23" s="44">
        <v>0</v>
      </c>
    </row>
    <row r="24" spans="1:11" x14ac:dyDescent="0.3">
      <c r="A24" s="46">
        <v>44501</v>
      </c>
      <c r="B24" s="44">
        <v>250</v>
      </c>
      <c r="C24" s="44"/>
      <c r="D24" s="46">
        <v>44593</v>
      </c>
      <c r="E24">
        <v>250</v>
      </c>
      <c r="I24" s="46">
        <v>43770</v>
      </c>
      <c r="J24" s="44">
        <v>300</v>
      </c>
      <c r="K24" s="44">
        <v>300</v>
      </c>
    </row>
    <row r="25" spans="1:11" x14ac:dyDescent="0.3">
      <c r="A25" s="46">
        <v>44531</v>
      </c>
      <c r="B25" s="44">
        <v>50</v>
      </c>
      <c r="C25" s="44"/>
      <c r="D25" s="46">
        <v>44621</v>
      </c>
      <c r="E25">
        <v>50</v>
      </c>
      <c r="I25" s="46">
        <v>43800</v>
      </c>
      <c r="J25" s="44">
        <v>100</v>
      </c>
      <c r="K25" s="44">
        <v>100</v>
      </c>
    </row>
    <row r="26" spans="1:11" x14ac:dyDescent="0.3">
      <c r="A26" s="46">
        <v>44593</v>
      </c>
      <c r="B26" s="44">
        <v>250</v>
      </c>
      <c r="C26" s="44"/>
      <c r="D26" s="46">
        <v>44682</v>
      </c>
      <c r="E26">
        <v>250</v>
      </c>
      <c r="I26" s="46">
        <v>43831</v>
      </c>
      <c r="J26" s="44">
        <v>0</v>
      </c>
      <c r="K26" s="44">
        <v>0</v>
      </c>
    </row>
    <row r="27" spans="1:11" x14ac:dyDescent="0.3">
      <c r="A27" s="46">
        <v>44621</v>
      </c>
      <c r="B27" s="44">
        <v>50</v>
      </c>
      <c r="C27" s="44"/>
      <c r="D27" s="46">
        <v>44713</v>
      </c>
      <c r="E27">
        <v>50</v>
      </c>
      <c r="I27" s="46">
        <v>43862</v>
      </c>
      <c r="J27" s="44">
        <v>300</v>
      </c>
      <c r="K27" s="44">
        <v>300</v>
      </c>
    </row>
    <row r="28" spans="1:11" x14ac:dyDescent="0.3">
      <c r="A28" s="46">
        <v>44682</v>
      </c>
      <c r="B28" s="44">
        <v>250</v>
      </c>
      <c r="C28" s="44"/>
      <c r="D28" s="46">
        <v>44774</v>
      </c>
      <c r="E28">
        <v>250</v>
      </c>
      <c r="I28" s="46">
        <v>43891</v>
      </c>
      <c r="J28" s="44">
        <v>100</v>
      </c>
      <c r="K28" s="44">
        <v>100</v>
      </c>
    </row>
    <row r="29" spans="1:11" x14ac:dyDescent="0.3">
      <c r="A29" s="46">
        <v>44713</v>
      </c>
      <c r="B29" s="44">
        <v>50</v>
      </c>
      <c r="C29" s="44"/>
      <c r="D29" s="46">
        <v>44805</v>
      </c>
      <c r="E29">
        <v>50</v>
      </c>
      <c r="I29" s="46">
        <v>43922</v>
      </c>
      <c r="J29" s="44">
        <v>0</v>
      </c>
      <c r="K29" s="44">
        <v>0</v>
      </c>
    </row>
    <row r="30" spans="1:11" x14ac:dyDescent="0.3">
      <c r="A30" s="46">
        <v>44774</v>
      </c>
      <c r="B30" s="44">
        <v>250</v>
      </c>
      <c r="C30" s="44"/>
      <c r="D30" s="46">
        <v>44866</v>
      </c>
      <c r="E30">
        <v>250</v>
      </c>
      <c r="I30" s="46">
        <v>43952</v>
      </c>
      <c r="J30" s="44">
        <v>300</v>
      </c>
      <c r="K30" s="44">
        <v>300</v>
      </c>
    </row>
    <row r="31" spans="1:11" x14ac:dyDescent="0.3">
      <c r="A31" s="46">
        <v>44805</v>
      </c>
      <c r="B31" s="44">
        <v>50</v>
      </c>
      <c r="C31" s="44"/>
      <c r="D31" s="46">
        <v>44896</v>
      </c>
      <c r="E31">
        <v>50</v>
      </c>
      <c r="I31" s="46">
        <v>43983</v>
      </c>
      <c r="J31" s="44">
        <v>100</v>
      </c>
      <c r="K31" s="44">
        <v>100</v>
      </c>
    </row>
    <row r="32" spans="1:11" x14ac:dyDescent="0.3">
      <c r="A32" s="46">
        <v>44866</v>
      </c>
      <c r="B32" s="44">
        <v>250</v>
      </c>
      <c r="C32" s="44"/>
      <c r="D32" s="46">
        <v>44958</v>
      </c>
      <c r="E32">
        <v>250</v>
      </c>
      <c r="I32" s="46">
        <v>44013</v>
      </c>
      <c r="J32" s="44">
        <v>0</v>
      </c>
      <c r="K32" s="44">
        <v>0</v>
      </c>
    </row>
    <row r="33" spans="1:11" x14ac:dyDescent="0.3">
      <c r="A33" s="46">
        <v>44896</v>
      </c>
      <c r="B33" s="44">
        <v>50</v>
      </c>
      <c r="C33" s="44"/>
      <c r="D33" s="46">
        <v>44986</v>
      </c>
      <c r="E33">
        <v>50</v>
      </c>
      <c r="I33" s="46">
        <v>44044</v>
      </c>
      <c r="J33" s="44">
        <v>300</v>
      </c>
      <c r="K33" s="44">
        <v>300</v>
      </c>
    </row>
    <row r="34" spans="1:11" x14ac:dyDescent="0.3">
      <c r="A34" s="46">
        <v>44958</v>
      </c>
      <c r="B34" s="44">
        <v>250</v>
      </c>
      <c r="C34" s="44"/>
      <c r="D34" s="46">
        <v>45047</v>
      </c>
      <c r="E34">
        <v>250</v>
      </c>
      <c r="I34" s="46">
        <v>44075</v>
      </c>
      <c r="J34" s="44">
        <v>100</v>
      </c>
      <c r="K34" s="44">
        <v>100</v>
      </c>
    </row>
    <row r="35" spans="1:11" x14ac:dyDescent="0.3">
      <c r="A35" s="46">
        <v>44986</v>
      </c>
      <c r="B35" s="44">
        <v>50</v>
      </c>
      <c r="C35" s="44"/>
      <c r="D35" s="46">
        <v>45078</v>
      </c>
      <c r="E35">
        <v>50</v>
      </c>
      <c r="I35" s="46">
        <v>44105</v>
      </c>
      <c r="J35" s="44">
        <v>0</v>
      </c>
      <c r="K35" s="44">
        <v>0</v>
      </c>
    </row>
    <row r="36" spans="1:11" x14ac:dyDescent="0.3">
      <c r="A36" s="46">
        <v>45047</v>
      </c>
      <c r="B36" s="44">
        <v>250</v>
      </c>
      <c r="C36" s="44"/>
      <c r="D36" s="46">
        <v>45139</v>
      </c>
      <c r="E36">
        <v>250</v>
      </c>
      <c r="I36" s="46">
        <v>44136</v>
      </c>
      <c r="J36" s="44">
        <v>250</v>
      </c>
      <c r="K36" s="44">
        <v>300</v>
      </c>
    </row>
    <row r="37" spans="1:11" x14ac:dyDescent="0.3">
      <c r="A37" s="46">
        <v>45078</v>
      </c>
      <c r="B37" s="44">
        <v>50</v>
      </c>
      <c r="C37" s="44"/>
      <c r="D37" s="46">
        <v>45170</v>
      </c>
      <c r="E37">
        <v>50</v>
      </c>
      <c r="I37" s="46">
        <v>44166</v>
      </c>
      <c r="J37" s="44">
        <v>100</v>
      </c>
      <c r="K37" s="44">
        <v>100</v>
      </c>
    </row>
    <row r="38" spans="1:11" x14ac:dyDescent="0.3">
      <c r="A38" s="46">
        <v>45139</v>
      </c>
      <c r="B38" s="44">
        <v>350</v>
      </c>
      <c r="C38" s="44"/>
      <c r="D38" s="46">
        <v>45231</v>
      </c>
      <c r="E38">
        <v>350</v>
      </c>
      <c r="I38" s="46">
        <v>44197</v>
      </c>
      <c r="J38" s="44">
        <v>0</v>
      </c>
      <c r="K38" s="44">
        <v>0</v>
      </c>
    </row>
    <row r="39" spans="1:11" x14ac:dyDescent="0.3">
      <c r="A39" s="46">
        <v>45170</v>
      </c>
      <c r="B39" s="44">
        <v>150</v>
      </c>
      <c r="C39" s="44"/>
      <c r="D39" s="46">
        <v>45261</v>
      </c>
      <c r="E39">
        <v>50</v>
      </c>
      <c r="I39" s="46">
        <v>44228</v>
      </c>
      <c r="J39" s="44">
        <v>250</v>
      </c>
      <c r="K39" s="44">
        <v>200</v>
      </c>
    </row>
    <row r="40" spans="1:11" x14ac:dyDescent="0.3">
      <c r="A40" s="46">
        <v>45231</v>
      </c>
      <c r="B40" s="44">
        <v>450</v>
      </c>
      <c r="C40" s="44"/>
      <c r="D40" s="46">
        <v>45323</v>
      </c>
      <c r="E40">
        <v>450</v>
      </c>
      <c r="I40" s="46">
        <v>44256</v>
      </c>
      <c r="J40" s="44">
        <v>50</v>
      </c>
      <c r="K40" s="44">
        <v>100</v>
      </c>
    </row>
    <row r="41" spans="1:11" x14ac:dyDescent="0.3">
      <c r="A41" s="46">
        <v>45261</v>
      </c>
      <c r="B41" s="44">
        <v>50</v>
      </c>
      <c r="C41" s="44"/>
      <c r="D41" s="46">
        <v>45352</v>
      </c>
      <c r="E41">
        <v>150</v>
      </c>
      <c r="I41" s="46">
        <v>44287</v>
      </c>
      <c r="J41" s="44">
        <v>0</v>
      </c>
      <c r="K41" s="44">
        <v>0</v>
      </c>
    </row>
    <row r="42" spans="1:11" x14ac:dyDescent="0.3">
      <c r="A42" s="46">
        <v>45323</v>
      </c>
      <c r="B42" s="44">
        <v>450</v>
      </c>
      <c r="C42" s="44"/>
      <c r="D42" s="46">
        <v>45413</v>
      </c>
      <c r="E42">
        <v>450</v>
      </c>
      <c r="I42" s="46">
        <v>44317</v>
      </c>
      <c r="J42" s="44">
        <v>250</v>
      </c>
      <c r="K42" s="44">
        <v>200</v>
      </c>
    </row>
    <row r="43" spans="1:11" x14ac:dyDescent="0.3">
      <c r="A43" s="46">
        <v>45352</v>
      </c>
      <c r="B43" s="44">
        <v>250</v>
      </c>
      <c r="C43" s="44"/>
      <c r="D43" s="46">
        <v>45444</v>
      </c>
      <c r="E43">
        <v>50</v>
      </c>
      <c r="I43" s="46">
        <v>44348</v>
      </c>
      <c r="J43" s="44">
        <v>50</v>
      </c>
      <c r="K43" s="44">
        <v>100</v>
      </c>
    </row>
    <row r="44" spans="1:11" x14ac:dyDescent="0.3">
      <c r="A44" s="46">
        <v>45413</v>
      </c>
      <c r="B44" s="44">
        <v>500</v>
      </c>
      <c r="C44" s="44"/>
      <c r="D44" s="46">
        <v>45505</v>
      </c>
      <c r="E44">
        <v>450</v>
      </c>
      <c r="I44" s="46">
        <v>44378</v>
      </c>
      <c r="J44" s="44">
        <v>0</v>
      </c>
      <c r="K44" s="44">
        <v>0</v>
      </c>
    </row>
    <row r="45" spans="1:11" x14ac:dyDescent="0.3">
      <c r="A45" s="46">
        <v>45444</v>
      </c>
      <c r="B45" s="44">
        <v>200</v>
      </c>
      <c r="C45" s="44"/>
      <c r="D45" s="46">
        <v>45536</v>
      </c>
      <c r="E45">
        <v>250</v>
      </c>
      <c r="I45" s="46">
        <v>44409</v>
      </c>
      <c r="J45" s="44">
        <v>250</v>
      </c>
      <c r="K45" s="44">
        <v>200</v>
      </c>
    </row>
    <row r="46" spans="1:11" x14ac:dyDescent="0.3">
      <c r="A46" s="46">
        <v>45505</v>
      </c>
      <c r="B46" s="44">
        <v>450</v>
      </c>
      <c r="C46" s="44"/>
      <c r="D46" s="46">
        <v>45597</v>
      </c>
      <c r="E46">
        <v>450</v>
      </c>
      <c r="I46" s="46">
        <v>44440</v>
      </c>
      <c r="J46" s="44">
        <v>50</v>
      </c>
      <c r="K46" s="44">
        <v>50</v>
      </c>
    </row>
    <row r="47" spans="1:11" x14ac:dyDescent="0.3">
      <c r="A47" s="46">
        <v>45536</v>
      </c>
      <c r="B47" s="44">
        <v>250</v>
      </c>
      <c r="C47" s="44"/>
      <c r="D47" s="46">
        <v>45627</v>
      </c>
      <c r="E47">
        <v>200</v>
      </c>
      <c r="I47" s="46">
        <v>44470</v>
      </c>
      <c r="J47" s="44">
        <v>0</v>
      </c>
      <c r="K47" s="44">
        <v>0</v>
      </c>
    </row>
    <row r="48" spans="1:11" x14ac:dyDescent="0.3">
      <c r="A48" s="46">
        <v>45597</v>
      </c>
      <c r="B48" s="44">
        <v>450</v>
      </c>
      <c r="C48" s="44"/>
      <c r="D48" s="46">
        <v>45689</v>
      </c>
      <c r="E48">
        <v>450</v>
      </c>
      <c r="I48" s="46">
        <v>44501</v>
      </c>
      <c r="J48" s="44">
        <v>250</v>
      </c>
      <c r="K48" s="44">
        <v>250</v>
      </c>
    </row>
    <row r="49" spans="1:11" x14ac:dyDescent="0.3">
      <c r="A49" s="46">
        <v>45627</v>
      </c>
      <c r="B49" s="44">
        <v>200</v>
      </c>
      <c r="C49" s="44"/>
      <c r="D49" s="46">
        <v>45717</v>
      </c>
      <c r="E49">
        <v>250</v>
      </c>
      <c r="I49" s="46">
        <v>44531</v>
      </c>
      <c r="J49" s="44">
        <v>50</v>
      </c>
      <c r="K49" s="44">
        <v>50</v>
      </c>
    </row>
    <row r="50" spans="1:11" x14ac:dyDescent="0.3">
      <c r="A50" s="46">
        <v>45658</v>
      </c>
      <c r="B50" s="44">
        <v>600</v>
      </c>
      <c r="C50" s="44"/>
      <c r="D50" s="46">
        <v>45778</v>
      </c>
      <c r="E50">
        <v>600</v>
      </c>
      <c r="I50" s="46">
        <v>44562</v>
      </c>
      <c r="J50" s="44">
        <v>0</v>
      </c>
      <c r="K50" s="44">
        <v>0</v>
      </c>
    </row>
    <row r="51" spans="1:11" x14ac:dyDescent="0.3">
      <c r="A51" s="46">
        <v>45689</v>
      </c>
      <c r="B51" s="44">
        <v>600</v>
      </c>
      <c r="C51" s="44"/>
      <c r="D51" s="46">
        <v>45809</v>
      </c>
      <c r="E51">
        <v>200</v>
      </c>
      <c r="I51" s="46">
        <v>44593</v>
      </c>
      <c r="J51" s="44">
        <v>250</v>
      </c>
      <c r="K51" s="44">
        <v>250</v>
      </c>
    </row>
    <row r="52" spans="1:11" x14ac:dyDescent="0.3">
      <c r="A52" s="46">
        <v>45809</v>
      </c>
      <c r="B52" s="44">
        <v>300</v>
      </c>
      <c r="C52" s="44"/>
      <c r="D52" s="46">
        <v>45839</v>
      </c>
      <c r="E52">
        <v>600</v>
      </c>
      <c r="I52" s="46">
        <v>44621</v>
      </c>
      <c r="J52" s="44">
        <v>50</v>
      </c>
      <c r="K52" s="44">
        <v>50</v>
      </c>
    </row>
    <row r="53" spans="1:11" x14ac:dyDescent="0.3">
      <c r="A53" s="46">
        <v>45870</v>
      </c>
      <c r="B53" s="44">
        <v>450</v>
      </c>
      <c r="C53" s="44"/>
      <c r="D53" s="46">
        <v>45870</v>
      </c>
      <c r="E53">
        <v>150</v>
      </c>
      <c r="I53" s="46">
        <v>44652</v>
      </c>
      <c r="J53" s="44">
        <v>0</v>
      </c>
      <c r="K53" s="44">
        <v>0</v>
      </c>
    </row>
    <row r="54" spans="1:11" x14ac:dyDescent="0.3">
      <c r="A54" s="46">
        <v>45901</v>
      </c>
      <c r="B54" s="44">
        <v>600</v>
      </c>
      <c r="C54" s="44"/>
      <c r="D54" s="46">
        <v>45962</v>
      </c>
      <c r="E54">
        <v>450</v>
      </c>
      <c r="I54" s="46">
        <v>44682</v>
      </c>
      <c r="J54" s="44">
        <v>250</v>
      </c>
      <c r="K54" s="44">
        <v>250</v>
      </c>
    </row>
    <row r="55" spans="1:11" x14ac:dyDescent="0.3">
      <c r="D55" s="46">
        <v>45992</v>
      </c>
      <c r="E55">
        <v>300</v>
      </c>
      <c r="I55" s="46">
        <v>44713</v>
      </c>
      <c r="J55" s="44">
        <v>50</v>
      </c>
      <c r="K55" s="44">
        <v>50</v>
      </c>
    </row>
    <row r="56" spans="1:11" x14ac:dyDescent="0.3">
      <c r="D56" s="46">
        <v>46054</v>
      </c>
      <c r="E56">
        <v>200</v>
      </c>
      <c r="I56" s="46">
        <v>44743</v>
      </c>
      <c r="J56" s="44">
        <v>0</v>
      </c>
      <c r="K56" s="44">
        <v>0</v>
      </c>
    </row>
    <row r="57" spans="1:11" x14ac:dyDescent="0.3">
      <c r="D57" s="46">
        <v>46082</v>
      </c>
      <c r="E57">
        <v>600</v>
      </c>
      <c r="I57" s="46">
        <v>44774</v>
      </c>
      <c r="J57" s="44">
        <v>250</v>
      </c>
      <c r="K57" s="44">
        <v>250</v>
      </c>
    </row>
    <row r="58" spans="1:11" x14ac:dyDescent="0.3">
      <c r="D58" s="46">
        <v>46235</v>
      </c>
      <c r="E58">
        <v>150</v>
      </c>
      <c r="I58" s="46">
        <v>44805</v>
      </c>
      <c r="J58" s="44">
        <v>50</v>
      </c>
      <c r="K58" s="44">
        <v>50</v>
      </c>
    </row>
    <row r="59" spans="1:11" x14ac:dyDescent="0.3">
      <c r="I59" s="46">
        <v>44835</v>
      </c>
      <c r="J59" s="44">
        <v>0</v>
      </c>
      <c r="K59" s="44">
        <v>0</v>
      </c>
    </row>
    <row r="60" spans="1:11" x14ac:dyDescent="0.3">
      <c r="I60" s="46">
        <v>44866</v>
      </c>
      <c r="J60" s="44">
        <v>250</v>
      </c>
      <c r="K60" s="44">
        <v>250</v>
      </c>
    </row>
    <row r="61" spans="1:11" x14ac:dyDescent="0.3">
      <c r="I61" s="46">
        <v>44896</v>
      </c>
      <c r="J61" s="44">
        <v>50</v>
      </c>
      <c r="K61" s="44">
        <v>50</v>
      </c>
    </row>
    <row r="62" spans="1:11" x14ac:dyDescent="0.3">
      <c r="I62" s="46">
        <v>44927</v>
      </c>
      <c r="J62" s="44">
        <v>0</v>
      </c>
      <c r="K62" s="44">
        <v>0</v>
      </c>
    </row>
    <row r="63" spans="1:11" x14ac:dyDescent="0.3">
      <c r="I63" s="46">
        <v>44958</v>
      </c>
      <c r="J63" s="44">
        <v>250</v>
      </c>
      <c r="K63" s="44">
        <v>250</v>
      </c>
    </row>
    <row r="64" spans="1:11" x14ac:dyDescent="0.3">
      <c r="I64" s="46">
        <v>44986</v>
      </c>
      <c r="J64" s="44">
        <v>50</v>
      </c>
      <c r="K64" s="44">
        <v>50</v>
      </c>
    </row>
    <row r="65" spans="9:11" x14ac:dyDescent="0.3">
      <c r="I65" s="46">
        <v>45017</v>
      </c>
      <c r="J65" s="44">
        <v>0</v>
      </c>
      <c r="K65" s="44">
        <v>0</v>
      </c>
    </row>
    <row r="66" spans="9:11" x14ac:dyDescent="0.3">
      <c r="I66" s="46">
        <v>45047</v>
      </c>
      <c r="J66" s="44">
        <v>250</v>
      </c>
      <c r="K66" s="44">
        <v>250</v>
      </c>
    </row>
    <row r="67" spans="9:11" x14ac:dyDescent="0.3">
      <c r="I67" s="46">
        <v>45078</v>
      </c>
      <c r="J67" s="44">
        <v>50</v>
      </c>
      <c r="K67" s="44">
        <v>50</v>
      </c>
    </row>
    <row r="68" spans="9:11" x14ac:dyDescent="0.3">
      <c r="I68" s="46">
        <v>45108</v>
      </c>
      <c r="J68" s="44">
        <v>0</v>
      </c>
      <c r="K68" s="44">
        <v>0</v>
      </c>
    </row>
    <row r="69" spans="9:11" x14ac:dyDescent="0.3">
      <c r="I69" s="46">
        <v>45139</v>
      </c>
      <c r="J69" s="44">
        <v>350</v>
      </c>
      <c r="K69" s="44">
        <v>250</v>
      </c>
    </row>
    <row r="70" spans="9:11" x14ac:dyDescent="0.3">
      <c r="I70" s="46">
        <v>45170</v>
      </c>
      <c r="J70" s="44">
        <v>150</v>
      </c>
      <c r="K70" s="44">
        <v>50</v>
      </c>
    </row>
    <row r="71" spans="9:11" x14ac:dyDescent="0.3">
      <c r="I71" s="46">
        <v>45200</v>
      </c>
      <c r="J71" s="44">
        <v>0</v>
      </c>
      <c r="K71" s="44">
        <v>0</v>
      </c>
    </row>
    <row r="72" spans="9:11" x14ac:dyDescent="0.3">
      <c r="I72" s="46">
        <v>45231</v>
      </c>
      <c r="J72" s="44">
        <v>450</v>
      </c>
      <c r="K72" s="44">
        <v>350</v>
      </c>
    </row>
    <row r="73" spans="9:11" x14ac:dyDescent="0.3">
      <c r="I73" s="46">
        <v>45261</v>
      </c>
      <c r="J73" s="44">
        <v>50</v>
      </c>
      <c r="K73" s="44">
        <v>50</v>
      </c>
    </row>
    <row r="74" spans="9:11" x14ac:dyDescent="0.3">
      <c r="I74" s="46">
        <v>45292</v>
      </c>
      <c r="J74" s="44">
        <v>0</v>
      </c>
      <c r="K74" s="44">
        <v>0</v>
      </c>
    </row>
    <row r="75" spans="9:11" x14ac:dyDescent="0.3">
      <c r="I75" s="46">
        <v>45323</v>
      </c>
      <c r="J75" s="44">
        <v>450</v>
      </c>
      <c r="K75" s="44">
        <v>450</v>
      </c>
    </row>
    <row r="76" spans="9:11" x14ac:dyDescent="0.3">
      <c r="I76" s="46">
        <v>45352</v>
      </c>
      <c r="J76" s="44">
        <v>250</v>
      </c>
      <c r="K76" s="44">
        <v>150</v>
      </c>
    </row>
    <row r="77" spans="9:11" x14ac:dyDescent="0.3">
      <c r="I77" s="46">
        <v>45383</v>
      </c>
      <c r="J77" s="44">
        <v>0</v>
      </c>
      <c r="K77" s="44">
        <v>0</v>
      </c>
    </row>
    <row r="78" spans="9:11" x14ac:dyDescent="0.3">
      <c r="I78" s="46">
        <v>45413</v>
      </c>
      <c r="J78" s="44">
        <v>500</v>
      </c>
      <c r="K78" s="44">
        <v>450</v>
      </c>
    </row>
    <row r="79" spans="9:11" x14ac:dyDescent="0.3">
      <c r="I79" s="46">
        <v>45444</v>
      </c>
      <c r="J79" s="44">
        <v>200</v>
      </c>
      <c r="K79" s="44">
        <v>50</v>
      </c>
    </row>
    <row r="80" spans="9:11" x14ac:dyDescent="0.3">
      <c r="I80" s="46">
        <v>45474</v>
      </c>
      <c r="J80" s="44">
        <v>0</v>
      </c>
      <c r="K80" s="44">
        <v>0</v>
      </c>
    </row>
    <row r="81" spans="9:11" x14ac:dyDescent="0.3">
      <c r="I81" s="46">
        <v>45505</v>
      </c>
      <c r="J81" s="44">
        <v>450</v>
      </c>
      <c r="K81" s="44">
        <v>450</v>
      </c>
    </row>
    <row r="82" spans="9:11" x14ac:dyDescent="0.3">
      <c r="I82" s="46">
        <v>45536</v>
      </c>
      <c r="J82" s="44">
        <v>250</v>
      </c>
      <c r="K82" s="44">
        <v>250</v>
      </c>
    </row>
    <row r="83" spans="9:11" x14ac:dyDescent="0.3">
      <c r="I83" s="46">
        <v>45566</v>
      </c>
      <c r="J83" s="44">
        <v>0</v>
      </c>
      <c r="K83" s="44">
        <v>0</v>
      </c>
    </row>
    <row r="84" spans="9:11" x14ac:dyDescent="0.3">
      <c r="I84" s="46">
        <v>45597</v>
      </c>
      <c r="J84" s="44">
        <v>450</v>
      </c>
      <c r="K84" s="44">
        <v>450</v>
      </c>
    </row>
    <row r="85" spans="9:11" x14ac:dyDescent="0.3">
      <c r="I85" s="46">
        <v>45627</v>
      </c>
      <c r="J85" s="44">
        <v>200</v>
      </c>
      <c r="K85" s="44">
        <v>200</v>
      </c>
    </row>
    <row r="86" spans="9:11" x14ac:dyDescent="0.3">
      <c r="I86" s="46">
        <v>45658</v>
      </c>
      <c r="J86" s="44">
        <v>600</v>
      </c>
      <c r="K86" s="44">
        <v>0</v>
      </c>
    </row>
    <row r="87" spans="9:11" x14ac:dyDescent="0.3">
      <c r="I87" s="46">
        <v>45689</v>
      </c>
      <c r="J87" s="44">
        <v>600</v>
      </c>
      <c r="K87" s="44">
        <v>450</v>
      </c>
    </row>
    <row r="88" spans="9:11" x14ac:dyDescent="0.3">
      <c r="I88" s="46">
        <v>45717</v>
      </c>
      <c r="J88" s="44">
        <v>0</v>
      </c>
      <c r="K88" s="44">
        <v>250</v>
      </c>
    </row>
    <row r="89" spans="9:11" x14ac:dyDescent="0.3">
      <c r="I89" s="46">
        <v>45748</v>
      </c>
      <c r="J89" s="44">
        <v>0</v>
      </c>
      <c r="K89" s="44">
        <v>0</v>
      </c>
    </row>
    <row r="90" spans="9:11" x14ac:dyDescent="0.3">
      <c r="I90" s="46">
        <v>45778</v>
      </c>
      <c r="J90" s="44">
        <v>0</v>
      </c>
      <c r="K90" s="44">
        <v>600</v>
      </c>
    </row>
    <row r="91" spans="9:11" x14ac:dyDescent="0.3">
      <c r="I91" s="46">
        <v>45809</v>
      </c>
      <c r="J91" s="44">
        <v>300</v>
      </c>
      <c r="K91" s="44">
        <v>200</v>
      </c>
    </row>
    <row r="92" spans="9:11" x14ac:dyDescent="0.3">
      <c r="I92" s="46">
        <v>45839</v>
      </c>
      <c r="J92" s="44">
        <v>0</v>
      </c>
      <c r="K92" s="44">
        <v>600</v>
      </c>
    </row>
    <row r="93" spans="9:11" x14ac:dyDescent="0.3">
      <c r="I93" s="46">
        <v>45870</v>
      </c>
      <c r="J93" s="44">
        <v>450</v>
      </c>
      <c r="K93" s="44">
        <v>150</v>
      </c>
    </row>
    <row r="94" spans="9:11" x14ac:dyDescent="0.3">
      <c r="I94" s="46">
        <v>45901</v>
      </c>
      <c r="J94" s="44">
        <v>600</v>
      </c>
      <c r="K94" s="44">
        <v>0</v>
      </c>
    </row>
    <row r="95" spans="9:11" x14ac:dyDescent="0.3">
      <c r="I95" s="46">
        <v>45931</v>
      </c>
      <c r="J95" s="44">
        <v>0</v>
      </c>
      <c r="K95" s="44">
        <v>0</v>
      </c>
    </row>
    <row r="96" spans="9:11" x14ac:dyDescent="0.3">
      <c r="I96" s="46">
        <v>45962</v>
      </c>
      <c r="J96" s="44">
        <v>0</v>
      </c>
      <c r="K96" s="44">
        <v>450</v>
      </c>
    </row>
    <row r="97" spans="9:11" x14ac:dyDescent="0.3">
      <c r="I97" s="46">
        <v>45992</v>
      </c>
      <c r="J97" s="44">
        <v>0</v>
      </c>
      <c r="K97" s="44">
        <v>300</v>
      </c>
    </row>
    <row r="98" spans="9:11" x14ac:dyDescent="0.3">
      <c r="I98" s="46">
        <v>46023</v>
      </c>
      <c r="J98" s="44">
        <v>0</v>
      </c>
      <c r="K98" s="44">
        <v>0</v>
      </c>
    </row>
    <row r="99" spans="9:11" x14ac:dyDescent="0.3">
      <c r="I99" s="46">
        <v>46054</v>
      </c>
      <c r="J99" s="44">
        <v>0</v>
      </c>
      <c r="K99" s="44">
        <v>200</v>
      </c>
    </row>
    <row r="100" spans="9:11" x14ac:dyDescent="0.3">
      <c r="I100" s="46">
        <v>46082</v>
      </c>
      <c r="J100" s="44">
        <v>0</v>
      </c>
      <c r="K100" s="44">
        <v>600</v>
      </c>
    </row>
    <row r="101" spans="9:11" x14ac:dyDescent="0.3">
      <c r="I101" s="46">
        <v>46113</v>
      </c>
      <c r="J101" s="44">
        <v>0</v>
      </c>
      <c r="K101" s="44">
        <v>0</v>
      </c>
    </row>
    <row r="102" spans="9:11" x14ac:dyDescent="0.3">
      <c r="I102" s="46">
        <v>46143</v>
      </c>
      <c r="J102" s="44">
        <v>0</v>
      </c>
      <c r="K102" s="44">
        <v>0</v>
      </c>
    </row>
    <row r="103" spans="9:11" x14ac:dyDescent="0.3">
      <c r="I103" s="46">
        <v>46174</v>
      </c>
      <c r="J103" s="44">
        <v>0</v>
      </c>
      <c r="K103" s="44">
        <v>0</v>
      </c>
    </row>
    <row r="104" spans="9:11" x14ac:dyDescent="0.3">
      <c r="I104" s="46">
        <v>46204</v>
      </c>
      <c r="J104" s="44">
        <v>0</v>
      </c>
      <c r="K104" s="44">
        <v>0</v>
      </c>
    </row>
    <row r="105" spans="9:11" x14ac:dyDescent="0.3">
      <c r="I105" s="46">
        <v>46235</v>
      </c>
      <c r="J105" s="44">
        <v>0</v>
      </c>
      <c r="K105" s="44">
        <v>150</v>
      </c>
    </row>
    <row r="106" spans="9:11" x14ac:dyDescent="0.3">
      <c r="I106" s="46">
        <v>46266</v>
      </c>
      <c r="J106" s="44">
        <v>0</v>
      </c>
      <c r="K106" s="44">
        <v>0</v>
      </c>
    </row>
    <row r="107" spans="9:11" x14ac:dyDescent="0.3">
      <c r="I107" s="46">
        <v>46296</v>
      </c>
      <c r="J107" s="44">
        <v>0</v>
      </c>
      <c r="K107" s="44">
        <v>0</v>
      </c>
    </row>
    <row r="108" spans="9:11" x14ac:dyDescent="0.3">
      <c r="I108" s="46">
        <v>46327</v>
      </c>
      <c r="J108" s="44">
        <v>0</v>
      </c>
      <c r="K108" s="44">
        <v>0</v>
      </c>
    </row>
    <row r="109" spans="9:11" x14ac:dyDescent="0.3">
      <c r="I109" s="46">
        <v>46357</v>
      </c>
      <c r="J109" s="44">
        <v>0</v>
      </c>
      <c r="K109" s="44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</vt:lpstr>
      <vt:lpstr>发行要素</vt:lpstr>
      <vt:lpstr>汇总结果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郭牧原</dc:creator>
  <cp:lastModifiedBy>JIENAN HU</cp:lastModifiedBy>
  <dcterms:created xsi:type="dcterms:W3CDTF">2023-05-12T11:15:00Z</dcterms:created>
  <dcterms:modified xsi:type="dcterms:W3CDTF">2025-10-26T23:47:02Z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3566F4A7F5CC4F219A5DC25062BEE4D9_12</vt:lpwstr>
  </property>
</Properties>
</file>